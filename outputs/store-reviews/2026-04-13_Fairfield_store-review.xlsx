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70" yWindow="3615" windowWidth="21600" windowHeight="11235"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4">
    <numFmt numFmtId="164" formatCode="0.0%"/>
    <numFmt numFmtId="165" formatCode="&quot;$&quot;#,##0.00_);[Red]\(&quot;$&quot;#,##0.00\)"/>
    <numFmt numFmtId="166" formatCode="_(&quot;$&quot;* #,##0.00_);_(&quot;$&quot;* \(#,##0.00\);_(&quot;$&quot;* &quot;-&quot;??_);_(@_)"/>
    <numFmt numFmtId="167" formatCode="M/D/YYYY"/>
  </numFmts>
  <fonts count="22">
    <font>
      <name val="Aptos Narrow"/>
      <family val="2"/>
      <color theme="1"/>
      <sz val="11"/>
      <scheme val="minor"/>
    </font>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b val="1"/>
      <color theme="1"/>
      <sz val="20"/>
      <scheme val="minor"/>
    </font>
    <font>
      <name val="Aptos Narrow"/>
      <family val="2"/>
      <b val="1"/>
      <color theme="1"/>
      <sz val="16"/>
      <scheme val="minor"/>
    </font>
    <font>
      <name val="Aptos Narrow"/>
      <family val="2"/>
      <b val="1"/>
      <color theme="1"/>
      <sz val="14"/>
      <scheme val="minor"/>
    </font>
    <font>
      <name val="Aptos Narrow"/>
      <family val="2"/>
      <b val="1"/>
      <color theme="1"/>
      <sz val="9"/>
      <scheme val="minor"/>
    </font>
    <font>
      <name val="Aptos Narrow"/>
      <family val="2"/>
      <color theme="1"/>
      <sz val="9"/>
      <scheme val="minor"/>
    </font>
    <font>
      <name val="Aptos Narrow"/>
      <family val="2"/>
      <b val="1"/>
      <color rgb="FFFF0000"/>
      <sz val="11"/>
      <scheme val="minor"/>
    </font>
    <font>
      <name val="Aptos Narrow"/>
      <family val="2"/>
      <b val="1"/>
      <sz val="11"/>
      <scheme val="minor"/>
    </font>
    <font>
      <name val="Aptos Narrow"/>
      <family val="2"/>
      <b val="1"/>
      <color theme="1"/>
      <sz val="18"/>
      <scheme val="minor"/>
    </font>
    <font>
      <name val="Aptos Narrow"/>
      <family val="2"/>
      <b val="1"/>
      <color rgb="FFFF0000"/>
      <sz val="12"/>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b val="1"/>
      <color rgb="FF000000"/>
      <sz val="11"/>
      <scheme val="minor"/>
    </font>
    <font>
      <name val="Aptos Narrow"/>
      <family val="2"/>
      <b val="1"/>
      <color rgb="FFDB1DBF"/>
      <sz val="11"/>
      <scheme val="minor"/>
    </font>
    <font>
      <name val="Aptos Narrow"/>
      <family val="2"/>
      <color rgb="FF000000"/>
      <sz val="11"/>
      <scheme val="minor"/>
    </font>
    <font>
      <name val="Aptos Narrow"/>
      <family val="2"/>
      <b val="1"/>
      <color theme="1"/>
      <sz val="10"/>
      <scheme val="minor"/>
    </font>
    <font>
      <name val="Aptos Narrow"/>
      <family val="2"/>
      <sz val="11"/>
      <scheme val="minor"/>
    </font>
    <font>
      <name val="Aptos Narrow"/>
      <family val="2"/>
      <b val="1"/>
      <color theme="1"/>
      <sz val="8"/>
      <scheme val="minor"/>
    </font>
  </fonts>
  <fills count="7">
    <fill>
      <patternFill/>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5">
    <xf numFmtId="0" fontId="1" fillId="0" borderId="0"/>
    <xf numFmtId="9" fontId="1" fillId="0" borderId="0"/>
    <xf numFmtId="0" fontId="13" fillId="3" borderId="0"/>
    <xf numFmtId="0" fontId="14" fillId="4" borderId="0"/>
    <xf numFmtId="0" fontId="15" fillId="5" borderId="0"/>
  </cellStyleXfs>
  <cellXfs count="186">
    <xf numFmtId="0" fontId="0" fillId="0" borderId="0" pivotButton="0" quotePrefix="0" xfId="0"/>
    <xf numFmtId="0" fontId="3" fillId="0" borderId="0" applyAlignment="1" pivotButton="0" quotePrefix="0" xfId="0">
      <alignment horizontal="center" vertical="center"/>
    </xf>
    <xf numFmtId="0" fontId="7" fillId="2" borderId="9" applyAlignment="1" pivotButton="0" quotePrefix="0" xfId="0">
      <alignment horizontal="center" vertical="center" wrapText="1"/>
    </xf>
    <xf numFmtId="9" fontId="3" fillId="2" borderId="12" applyAlignment="1" pivotButton="0" quotePrefix="0" xfId="1">
      <alignment horizontal="center" vertical="center"/>
    </xf>
    <xf numFmtId="0" fontId="3" fillId="0" borderId="0" applyAlignment="1" pivotButton="0" quotePrefix="0" xfId="0">
      <alignment horizontal="left" vertical="top"/>
    </xf>
    <xf numFmtId="0" fontId="4" fillId="2" borderId="0" applyAlignment="1" pivotButton="0" quotePrefix="0" xfId="0">
      <alignment horizontal="left" vertical="center"/>
    </xf>
    <xf numFmtId="0" fontId="3" fillId="2" borderId="0" applyAlignment="1" pivotButton="0" quotePrefix="0" xfId="0">
      <alignment horizontal="center" vertical="center"/>
    </xf>
    <xf numFmtId="0" fontId="3" fillId="2" borderId="0" applyAlignment="1" pivotButton="0" quotePrefix="0" xfId="0">
      <alignment horizontal="left" vertical="center"/>
    </xf>
    <xf numFmtId="0" fontId="0" fillId="2" borderId="4" applyAlignment="1" pivotButton="0" quotePrefix="0" xfId="0">
      <alignment horizontal="center" vertical="center"/>
    </xf>
    <xf numFmtId="0" fontId="0" fillId="2" borderId="0" applyAlignment="1" pivotButton="0" quotePrefix="0" xfId="0">
      <alignment horizontal="center" vertical="center"/>
    </xf>
    <xf numFmtId="0" fontId="0" fillId="2" borderId="8" applyAlignment="1" pivotButton="0" quotePrefix="0" xfId="0">
      <alignment horizontal="center" vertical="center"/>
    </xf>
    <xf numFmtId="0" fontId="7" fillId="2" borderId="0" applyAlignment="1" pivotButton="0" quotePrefix="0" xfId="0">
      <alignment horizontal="center" vertical="center"/>
    </xf>
    <xf numFmtId="0" fontId="7" fillId="2" borderId="9" applyAlignment="1" pivotButton="0" quotePrefix="0" xfId="0">
      <alignment horizontal="center" vertical="center"/>
    </xf>
    <xf numFmtId="9" fontId="7" fillId="2" borderId="9" applyAlignment="1" pivotButton="0" quotePrefix="0" xfId="1">
      <alignment horizontal="center" vertical="center"/>
    </xf>
    <xf numFmtId="2" fontId="3" fillId="2" borderId="0" applyAlignment="1" pivotButton="0" quotePrefix="0" xfId="0">
      <alignment horizontal="center" vertical="center"/>
    </xf>
    <xf numFmtId="0" fontId="7" fillId="2" borderId="12" applyAlignment="1" pivotButton="0" quotePrefix="0" xfId="0">
      <alignment horizontal="center" vertical="center"/>
    </xf>
    <xf numFmtId="9" fontId="7" fillId="2" borderId="9" applyAlignment="1" pivotButton="0" quotePrefix="0" xfId="1">
      <alignment horizontal="center" vertical="center" wrapText="1"/>
    </xf>
    <xf numFmtId="0" fontId="7" fillId="2" borderId="0" applyAlignment="1" pivotButton="0" quotePrefix="0" xfId="0">
      <alignment horizontal="center" vertical="center" wrapText="1"/>
    </xf>
    <xf numFmtId="14" fontId="7" fillId="2" borderId="0" applyAlignment="1" pivotButton="0" quotePrefix="0" xfId="0">
      <alignment horizontal="center" vertical="center"/>
    </xf>
    <xf numFmtId="0" fontId="8" fillId="2" borderId="0" applyAlignment="1" pivotButton="0" quotePrefix="0" xfId="0">
      <alignment horizontal="center" vertical="center"/>
    </xf>
    <xf numFmtId="0" fontId="7" fillId="2" borderId="1" applyAlignment="1" pivotButton="0" quotePrefix="0" xfId="0">
      <alignment horizontal="center" vertical="center"/>
    </xf>
    <xf numFmtId="0" fontId="3" fillId="2" borderId="9" applyAlignment="1" pivotButton="0" quotePrefix="0" xfId="0">
      <alignment horizontal="center" vertical="center"/>
    </xf>
    <xf numFmtId="164" fontId="3" fillId="2" borderId="9" applyAlignment="1" pivotButton="0" quotePrefix="0" xfId="1">
      <alignment horizontal="center" vertical="center"/>
    </xf>
    <xf numFmtId="9" fontId="10" fillId="2" borderId="9" applyAlignment="1" pivotButton="0" quotePrefix="0" xfId="1">
      <alignment horizontal="center" vertical="center"/>
    </xf>
    <xf numFmtId="164" fontId="3" fillId="2" borderId="0" applyAlignment="1" pivotButton="0" quotePrefix="0" xfId="1">
      <alignment horizontal="center" vertical="center"/>
    </xf>
    <xf numFmtId="164" fontId="3" fillId="2" borderId="4" applyAlignment="1" pivotButton="0" quotePrefix="0" xfId="1">
      <alignment horizontal="center" vertical="center"/>
    </xf>
    <xf numFmtId="0" fontId="0" fillId="2" borderId="0" pivotButton="0" quotePrefix="0" xfId="0"/>
    <xf numFmtId="0" fontId="8" fillId="2" borderId="9" applyAlignment="1" pivotButton="0" quotePrefix="0" xfId="0">
      <alignment horizontal="center" vertical="center"/>
    </xf>
    <xf numFmtId="0" fontId="8" fillId="2" borderId="4" applyAlignment="1" pivotButton="0" quotePrefix="0" xfId="0">
      <alignment horizontal="center" vertical="center"/>
    </xf>
    <xf numFmtId="0" fontId="0" fillId="2" borderId="0" applyAlignment="1" pivotButton="0" quotePrefix="0" xfId="0">
      <alignment horizontal="center"/>
    </xf>
    <xf numFmtId="0" fontId="3" fillId="2" borderId="0" applyAlignment="1" pivotButton="0" quotePrefix="0" xfId="0">
      <alignment horizontal="left" vertical="top"/>
    </xf>
    <xf numFmtId="0" fontId="17" fillId="2" borderId="0" applyAlignment="1" pivotButton="0" quotePrefix="0" xfId="0">
      <alignment horizontal="center" vertical="center"/>
    </xf>
    <xf numFmtId="0" fontId="6" fillId="2" borderId="0" applyAlignment="1" pivotButton="0" quotePrefix="0" xfId="0">
      <alignment horizontal="left" vertical="center"/>
    </xf>
    <xf numFmtId="0" fontId="19" fillId="2" borderId="0" applyAlignment="1" pivotButton="0" quotePrefix="0" xfId="0">
      <alignment horizontal="center" vertical="center"/>
    </xf>
    <xf numFmtId="0" fontId="0" fillId="2" borderId="9" applyAlignment="1" pivotButton="0" quotePrefix="0" xfId="3">
      <alignment horizontal="center" vertical="center"/>
    </xf>
    <xf numFmtId="9" fontId="14" fillId="4" borderId="9" applyAlignment="1" pivotButton="0" quotePrefix="0" xfId="3">
      <alignment horizontal="center" vertical="center"/>
    </xf>
    <xf numFmtId="0" fontId="21" fillId="6" borderId="9" applyAlignment="1" pivotButton="0" quotePrefix="0" xfId="0">
      <alignment horizontal="left" vertical="top" wrapText="1"/>
    </xf>
    <xf numFmtId="0" fontId="3" fillId="6" borderId="9" applyAlignment="1" pivotButton="0" quotePrefix="0" xfId="0">
      <alignment horizontal="center" vertical="center"/>
    </xf>
    <xf numFmtId="0" fontId="3" fillId="6" borderId="1" applyAlignment="1" pivotButton="0" quotePrefix="0" xfId="0">
      <alignment horizontal="center" vertical="center"/>
    </xf>
    <xf numFmtId="9" fontId="14" fillId="4" borderId="9" applyAlignment="1" pivotButton="0" quotePrefix="0" xfId="3">
      <alignment horizontal="center" vertical="center" wrapText="1"/>
    </xf>
    <xf numFmtId="0" fontId="0" fillId="6" borderId="9" applyAlignment="1" pivotButton="0" quotePrefix="0" xfId="0">
      <alignment horizontal="center" vertical="center"/>
    </xf>
    <xf numFmtId="0" fontId="7" fillId="6" borderId="9" applyAlignment="1" pivotButton="0" quotePrefix="0" xfId="0">
      <alignment horizontal="center" vertical="center"/>
    </xf>
    <xf numFmtId="0" fontId="8" fillId="6" borderId="12" applyAlignment="1" pivotButton="0" quotePrefix="0" xfId="0">
      <alignment horizontal="center" vertical="center"/>
    </xf>
    <xf numFmtId="0" fontId="7" fillId="6" borderId="12" applyAlignment="1" pivotButton="0" quotePrefix="0" xfId="0">
      <alignment horizontal="center" vertical="center"/>
    </xf>
    <xf numFmtId="0" fontId="5" fillId="2" borderId="1" applyAlignment="1" pivotButton="0" quotePrefix="0" xfId="0">
      <alignment horizontal="center" vertical="center"/>
    </xf>
    <xf numFmtId="0" fontId="5" fillId="2" borderId="5" applyAlignment="1" pivotButton="0" quotePrefix="0" xfId="0">
      <alignment horizontal="center" vertical="center"/>
    </xf>
    <xf numFmtId="0" fontId="6"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3" fillId="2" borderId="6" applyAlignment="1" pivotButton="0" quotePrefix="0" xfId="0">
      <alignment horizontal="center" vertical="center"/>
    </xf>
    <xf numFmtId="0" fontId="3" fillId="2" borderId="7" applyAlignment="1" pivotButton="0" quotePrefix="0" xfId="0">
      <alignment horizontal="center" vertical="center"/>
    </xf>
    <xf numFmtId="0" fontId="3" fillId="2" borderId="8" applyAlignment="1" pivotButton="0" quotePrefix="0" xfId="0">
      <alignment horizontal="center" vertical="center"/>
    </xf>
    <xf numFmtId="0" fontId="3" fillId="2" borderId="2" applyAlignment="1" pivotButton="0" quotePrefix="0" xfId="0">
      <alignment horizontal="center" vertical="center"/>
    </xf>
    <xf numFmtId="0" fontId="0" fillId="2" borderId="4" applyAlignment="1" pivotButton="0" quotePrefix="0" xfId="0">
      <alignment horizontal="center" vertical="center"/>
    </xf>
    <xf numFmtId="0" fontId="0" fillId="2" borderId="8" applyAlignment="1" pivotButton="0" quotePrefix="0" xfId="0">
      <alignment horizontal="center" vertical="center"/>
    </xf>
    <xf numFmtId="0" fontId="3" fillId="2" borderId="2" applyAlignment="1" pivotButton="0" quotePrefix="0" xfId="0">
      <alignment horizontal="center" vertical="center" wrapText="1"/>
    </xf>
    <xf numFmtId="0" fontId="0" fillId="2" borderId="3" applyAlignment="1" pivotButton="0" quotePrefix="0" xfId="0">
      <alignment horizontal="center" vertical="center" wrapText="1"/>
    </xf>
    <xf numFmtId="0" fontId="0" fillId="2" borderId="4"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7" applyAlignment="1" pivotButton="0" quotePrefix="0" xfId="0">
      <alignment horizontal="center" vertical="center" wrapText="1"/>
    </xf>
    <xf numFmtId="0" fontId="0" fillId="2" borderId="8" applyAlignment="1" pivotButton="0" quotePrefix="0" xfId="0">
      <alignment horizontal="center" vertical="center" wrapText="1"/>
    </xf>
    <xf numFmtId="14" fontId="9" fillId="2" borderId="10" applyAlignment="1" pivotButton="0" quotePrefix="0" xfId="0">
      <alignment horizontal="center" vertical="center"/>
    </xf>
    <xf numFmtId="14" fontId="9" fillId="2" borderId="11" applyAlignment="1" pivotButton="0" quotePrefix="0" xfId="0">
      <alignment horizontal="center" vertical="center"/>
    </xf>
    <xf numFmtId="14" fontId="9" fillId="2" borderId="12" applyAlignment="1" pivotButton="0" quotePrefix="0" xfId="0">
      <alignment horizontal="center" vertical="center"/>
    </xf>
    <xf numFmtId="0" fontId="7" fillId="2" borderId="6" applyAlignment="1" pivotButton="0" quotePrefix="0" xfId="0">
      <alignment horizontal="center" vertical="center"/>
    </xf>
    <xf numFmtId="0" fontId="7" fillId="2" borderId="8" applyAlignment="1" pivotButton="0" quotePrefix="0" xfId="0">
      <alignment horizontal="center" vertical="center"/>
    </xf>
    <xf numFmtId="0" fontId="3" fillId="2" borderId="10" applyAlignment="1" pivotButton="0" quotePrefix="0" xfId="0">
      <alignment horizontal="center" vertical="center"/>
    </xf>
    <xf numFmtId="0" fontId="0" fillId="2" borderId="12" applyAlignment="1" pivotButton="0" quotePrefix="0" xfId="0">
      <alignment horizontal="center" vertical="center"/>
    </xf>
    <xf numFmtId="14" fontId="7" fillId="2" borderId="10" applyAlignment="1" pivotButton="0" quotePrefix="0" xfId="0">
      <alignment horizontal="center" vertical="center"/>
    </xf>
    <xf numFmtId="0" fontId="8" fillId="2" borderId="11" applyAlignment="1" pivotButton="0" quotePrefix="0" xfId="0">
      <alignment horizontal="center" vertical="center"/>
    </xf>
    <xf numFmtId="0" fontId="8" fillId="2" borderId="12" applyAlignment="1" pivotButton="0" quotePrefix="0" xfId="0">
      <alignment horizontal="center" vertical="center"/>
    </xf>
    <xf numFmtId="0" fontId="7" fillId="2" borderId="10" applyAlignment="1" pivotButton="0" quotePrefix="0" xfId="0">
      <alignment horizontal="center" vertical="center"/>
    </xf>
    <xf numFmtId="0" fontId="7" fillId="2" borderId="12" applyAlignment="1" pivotButton="0" quotePrefix="0" xfId="0">
      <alignment horizontal="center" vertical="center"/>
    </xf>
    <xf numFmtId="0" fontId="16" fillId="2" borderId="2" applyAlignment="1" pivotButton="0" quotePrefix="0" xfId="0">
      <alignment horizontal="center" vertical="center" wrapText="1"/>
    </xf>
    <xf numFmtId="0" fontId="0" fillId="2" borderId="11" applyAlignment="1" pivotButton="0" quotePrefix="0" xfId="0">
      <alignment horizontal="center" vertical="center" wrapText="1"/>
    </xf>
    <xf numFmtId="0" fontId="7" fillId="2" borderId="10" applyAlignment="1" pivotButton="0" quotePrefix="0" xfId="0">
      <alignment horizontal="center" vertical="center" wrapText="1"/>
    </xf>
    <xf numFmtId="0" fontId="8" fillId="2" borderId="12" applyAlignment="1" pivotButton="0" quotePrefix="0" xfId="0">
      <alignment horizontal="center" vertical="center" wrapText="1"/>
    </xf>
    <xf numFmtId="9" fontId="13" fillId="3" borderId="10" applyAlignment="1" pivotButton="0" quotePrefix="0" xfId="2">
      <alignment horizontal="center" vertical="center" wrapText="1"/>
    </xf>
    <xf numFmtId="9" fontId="13" fillId="3" borderId="12" applyAlignment="1" pivotButton="0" quotePrefix="0" xfId="2">
      <alignment horizontal="center" vertical="center" wrapText="1"/>
    </xf>
    <xf numFmtId="0" fontId="0" fillId="2" borderId="12" applyAlignment="1" pivotButton="0" quotePrefix="0" xfId="0">
      <alignment horizontal="center" vertical="center" wrapText="1"/>
    </xf>
    <xf numFmtId="165" fontId="13" fillId="3" borderId="10" applyAlignment="1" pivotButton="0" quotePrefix="0" xfId="2">
      <alignment horizontal="center" vertical="center" wrapText="1"/>
    </xf>
    <xf numFmtId="166" fontId="13" fillId="3" borderId="12" applyAlignment="1" pivotButton="0" quotePrefix="0" xfId="2">
      <alignment horizontal="center" vertical="center" wrapText="1"/>
    </xf>
    <xf numFmtId="10" fontId="0" fillId="2" borderId="10" applyAlignment="1" pivotButton="0" quotePrefix="0" xfId="3">
      <alignment horizontal="center" vertical="center" wrapText="1"/>
    </xf>
    <xf numFmtId="10" fontId="0" fillId="2" borderId="12" applyAlignment="1" pivotButton="0" quotePrefix="0" xfId="3">
      <alignment horizontal="center" vertical="center" wrapText="1"/>
    </xf>
    <xf numFmtId="9" fontId="18" fillId="2" borderId="10" applyAlignment="1" pivotButton="0" quotePrefix="0" xfId="3">
      <alignment horizontal="center" vertical="center"/>
    </xf>
    <xf numFmtId="9" fontId="18" fillId="2" borderId="12" applyAlignment="1" pivotButton="0" quotePrefix="0" xfId="3">
      <alignment horizontal="center" vertical="center"/>
    </xf>
    <xf numFmtId="9" fontId="0" fillId="2" borderId="10" applyAlignment="1" pivotButton="0" quotePrefix="0" xfId="3">
      <alignment horizontal="center" vertical="center" wrapText="1"/>
    </xf>
    <xf numFmtId="9" fontId="0" fillId="2" borderId="12" applyAlignment="1" pivotButton="0" quotePrefix="0" xfId="3">
      <alignment horizontal="center" vertical="center" wrapText="1"/>
    </xf>
    <xf numFmtId="9" fontId="16" fillId="2" borderId="10" applyAlignment="1" pivotButton="0" quotePrefix="0" xfId="4">
      <alignment horizontal="center" vertical="center"/>
    </xf>
    <xf numFmtId="9" fontId="16" fillId="2" borderId="12" applyAlignment="1" pivotButton="0" quotePrefix="0" xfId="4">
      <alignment horizontal="center" vertical="center"/>
    </xf>
    <xf numFmtId="0" fontId="9" fillId="2" borderId="10" applyAlignment="1" pivotButton="0" quotePrefix="0" xfId="0">
      <alignment horizontal="center" vertical="center" wrapText="1"/>
    </xf>
    <xf numFmtId="0" fontId="2" fillId="2" borderId="12" applyAlignment="1" pivotButton="0" quotePrefix="0" xfId="0">
      <alignment horizontal="center" vertical="center" wrapText="1"/>
    </xf>
    <xf numFmtId="0" fontId="0" fillId="2" borderId="3" applyAlignment="1" pivotButton="0" quotePrefix="0" xfId="0">
      <alignment horizontal="center" wrapText="1"/>
    </xf>
    <xf numFmtId="0" fontId="0" fillId="2" borderId="4" applyAlignment="1" pivotButton="0" quotePrefix="0" xfId="0">
      <alignment horizontal="center" wrapText="1"/>
    </xf>
    <xf numFmtId="0" fontId="0" fillId="2" borderId="13" applyAlignment="1" pivotButton="0" quotePrefix="0" xfId="0">
      <alignment horizontal="center" wrapText="1"/>
    </xf>
    <xf numFmtId="0" fontId="0" fillId="2" borderId="0" applyAlignment="1" pivotButton="0" quotePrefix="0" xfId="0">
      <alignment horizontal="center" wrapText="1"/>
    </xf>
    <xf numFmtId="0" fontId="0" fillId="2" borderId="14" applyAlignment="1" pivotButton="0" quotePrefix="0" xfId="0">
      <alignment horizontal="center" wrapText="1"/>
    </xf>
    <xf numFmtId="0" fontId="9" fillId="2" borderId="3" applyAlignment="1" pivotButton="0" quotePrefix="0" xfId="0">
      <alignment horizontal="center" vertical="center" wrapText="1"/>
    </xf>
    <xf numFmtId="0" fontId="9" fillId="2" borderId="7" applyAlignment="1" pivotButton="0" quotePrefix="0" xfId="0">
      <alignment horizontal="center" vertical="center" wrapText="1"/>
    </xf>
    <xf numFmtId="0" fontId="0" fillId="2" borderId="11" applyAlignment="1" pivotButton="0" quotePrefix="0" xfId="0">
      <alignment horizontal="center" vertical="center"/>
    </xf>
    <xf numFmtId="0" fontId="0" fillId="2" borderId="3" applyAlignment="1" pivotButton="0" quotePrefix="0" xfId="0">
      <alignment horizontal="center" vertical="center"/>
    </xf>
    <xf numFmtId="0" fontId="0" fillId="2" borderId="6" applyAlignment="1" pivotButton="0" quotePrefix="0" xfId="0">
      <alignment horizontal="center" vertical="center"/>
    </xf>
    <xf numFmtId="0" fontId="0" fillId="2" borderId="7" applyAlignment="1" pivotButton="0" quotePrefix="0" xfId="0">
      <alignment horizontal="center" vertical="center"/>
    </xf>
    <xf numFmtId="0" fontId="0" fillId="2" borderId="3" applyAlignment="1" pivotButton="0" quotePrefix="0" xfId="0">
      <alignment wrapText="1"/>
    </xf>
    <xf numFmtId="0" fontId="0" fillId="2" borderId="4" applyAlignment="1" pivotButton="0" quotePrefix="0" xfId="0">
      <alignment wrapText="1"/>
    </xf>
    <xf numFmtId="0" fontId="0" fillId="2" borderId="6" applyAlignment="1" pivotButton="0" quotePrefix="0" xfId="0">
      <alignment wrapText="1"/>
    </xf>
    <xf numFmtId="0" fontId="0" fillId="2" borderId="7" applyAlignment="1" pivotButton="0" quotePrefix="0" xfId="0">
      <alignment wrapText="1"/>
    </xf>
    <xf numFmtId="0" fontId="0" fillId="2" borderId="8" applyAlignment="1" pivotButton="0" quotePrefix="0" xfId="0">
      <alignment wrapText="1"/>
    </xf>
    <xf numFmtId="0" fontId="3" fillId="2" borderId="10" applyAlignment="1" pivotButton="0" quotePrefix="0" xfId="0">
      <alignment horizontal="center" vertical="top"/>
    </xf>
    <xf numFmtId="0" fontId="0" fillId="2" borderId="12" applyAlignment="1" pivotButton="0" quotePrefix="0" xfId="0">
      <alignment horizontal="center" vertical="top"/>
    </xf>
    <xf numFmtId="0" fontId="3" fillId="6" borderId="10" applyAlignment="1" pivotButton="0" quotePrefix="0" xfId="0">
      <alignment horizontal="center" vertical="top"/>
    </xf>
    <xf numFmtId="0" fontId="0" fillId="6" borderId="12" applyAlignment="1" pivotButton="0" quotePrefix="0" xfId="0">
      <alignment horizontal="center" vertical="top"/>
    </xf>
    <xf numFmtId="0" fontId="7" fillId="2" borderId="11" applyAlignment="1" pivotButton="0" quotePrefix="0" xfId="0">
      <alignment horizontal="center" vertical="center"/>
    </xf>
    <xf numFmtId="0" fontId="3" fillId="2" borderId="3" applyAlignment="1" pivotButton="0" quotePrefix="0" xfId="0">
      <alignment horizontal="center" vertical="center" wrapText="1"/>
    </xf>
    <xf numFmtId="0" fontId="3" fillId="2" borderId="6" applyAlignment="1" pivotButton="0" quotePrefix="0" xfId="0">
      <alignment horizontal="center" vertical="center" wrapText="1"/>
    </xf>
    <xf numFmtId="0" fontId="3" fillId="2" borderId="7" applyAlignment="1" pivotButton="0" quotePrefix="0" xfId="0">
      <alignment horizontal="center" vertical="center" wrapText="1"/>
    </xf>
    <xf numFmtId="0" fontId="7" fillId="2" borderId="2" applyAlignment="1" pivotButton="0" quotePrefix="0" xfId="0">
      <alignment horizontal="center" vertical="center"/>
    </xf>
    <xf numFmtId="0" fontId="7" fillId="2" borderId="3" applyAlignment="1" pivotButton="0" quotePrefix="0" xfId="0">
      <alignment horizontal="center" vertical="center"/>
    </xf>
    <xf numFmtId="0" fontId="3" fillId="6" borderId="2" applyAlignment="1" pivotButton="0" quotePrefix="0" xfId="0">
      <alignment horizontal="center" vertical="center"/>
    </xf>
    <xf numFmtId="0" fontId="0" fillId="6" borderId="4" applyAlignment="1" pivotButton="0" quotePrefix="0" xfId="0">
      <alignment horizontal="center" vertical="center"/>
    </xf>
    <xf numFmtId="0" fontId="3" fillId="6" borderId="10" applyAlignment="1" pivotButton="0" quotePrefix="0" xfId="0">
      <alignment horizontal="center" vertical="center"/>
    </xf>
    <xf numFmtId="0" fontId="0" fillId="6" borderId="12" applyAlignment="1" pivotButton="0" quotePrefix="0" xfId="0">
      <alignment horizontal="center" vertical="center"/>
    </xf>
    <xf numFmtId="0" fontId="3" fillId="2" borderId="13"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2" applyAlignment="1" pivotButton="0" quotePrefix="0" xfId="0">
      <alignment horizontal="left" vertical="top" wrapText="1"/>
    </xf>
    <xf numFmtId="0" fontId="0" fillId="2" borderId="3" applyAlignment="1" pivotButton="0" quotePrefix="0" xfId="0">
      <alignment horizontal="left" vertical="top" wrapText="1"/>
    </xf>
    <xf numFmtId="0" fontId="0" fillId="2" borderId="4" applyAlignment="1" pivotButton="0" quotePrefix="0" xfId="0">
      <alignment horizontal="left" vertical="top" wrapText="1"/>
    </xf>
    <xf numFmtId="0" fontId="0" fillId="2" borderId="13" applyAlignment="1" pivotButton="0" quotePrefix="0" xfId="0">
      <alignment horizontal="left" vertical="top" wrapText="1"/>
    </xf>
    <xf numFmtId="0" fontId="0" fillId="2" borderId="0" applyAlignment="1" pivotButton="0" quotePrefix="0" xfId="0">
      <alignment horizontal="left" vertical="top" wrapText="1"/>
    </xf>
    <xf numFmtId="0" fontId="0" fillId="2" borderId="14" applyAlignment="1" pivotButton="0" quotePrefix="0" xfId="0">
      <alignment horizontal="left" vertical="top" wrapText="1"/>
    </xf>
    <xf numFmtId="0" fontId="0" fillId="2" borderId="6" applyAlignment="1" pivotButton="0" quotePrefix="0" xfId="0">
      <alignment horizontal="left" vertical="top" wrapText="1"/>
    </xf>
    <xf numFmtId="0" fontId="0" fillId="2" borderId="7" applyAlignment="1" pivotButton="0" quotePrefix="0" xfId="0">
      <alignment horizontal="left" vertical="top" wrapText="1"/>
    </xf>
    <xf numFmtId="0" fontId="0" fillId="2" borderId="8" applyAlignment="1" pivotButton="0" quotePrefix="0" xfId="0">
      <alignment horizontal="left" vertical="top" wrapText="1"/>
    </xf>
    <xf numFmtId="0" fontId="3" fillId="2" borderId="0" applyAlignment="1" pivotButton="0" quotePrefix="0" xfId="0">
      <alignment horizontal="center" vertical="center"/>
    </xf>
    <xf numFmtId="0" fontId="3" fillId="2" borderId="10" applyAlignment="1" pivotButton="0" quotePrefix="0" xfId="0">
      <alignment horizontal="left" vertical="center"/>
    </xf>
    <xf numFmtId="0" fontId="3" fillId="2" borderId="11" applyAlignment="1" pivotButton="0" quotePrefix="0" xfId="0">
      <alignment horizontal="left" vertical="center"/>
    </xf>
    <xf numFmtId="0" fontId="3" fillId="2" borderId="12" applyAlignment="1" pivotButton="0" quotePrefix="0" xfId="0">
      <alignment horizontal="left" vertical="center"/>
    </xf>
    <xf numFmtId="0" fontId="11" fillId="2" borderId="1" applyAlignment="1" pivotButton="0" quotePrefix="0" xfId="0">
      <alignment horizontal="center" vertical="center"/>
    </xf>
    <xf numFmtId="0" fontId="11" fillId="2" borderId="15" applyAlignment="1" pivotButton="0" quotePrefix="0" xfId="0">
      <alignment horizontal="center" vertical="center"/>
    </xf>
    <xf numFmtId="0" fontId="11" fillId="2" borderId="5" applyAlignment="1" pivotButton="0" quotePrefix="0" xfId="0">
      <alignment horizontal="center" vertical="center"/>
    </xf>
    <xf numFmtId="0" fontId="12" fillId="2" borderId="2" applyAlignment="1" pivotButton="0" quotePrefix="0" xfId="0">
      <alignment horizontal="left" vertical="top" wrapText="1"/>
    </xf>
    <xf numFmtId="0" fontId="10" fillId="2" borderId="2" applyAlignment="1" pivotButton="0" quotePrefix="0" xfId="0">
      <alignment horizontal="left" vertical="top" wrapText="1"/>
    </xf>
    <xf numFmtId="0" fontId="20" fillId="2" borderId="3" applyAlignment="1" pivotButton="0" quotePrefix="0" xfId="0">
      <alignment horizontal="left" vertical="top" wrapText="1"/>
    </xf>
    <xf numFmtId="0" fontId="20" fillId="2" borderId="4" applyAlignment="1" pivotButton="0" quotePrefix="0" xfId="0">
      <alignment horizontal="left" vertical="top" wrapText="1"/>
    </xf>
    <xf numFmtId="0" fontId="20" fillId="2" borderId="13" applyAlignment="1" pivotButton="0" quotePrefix="0" xfId="0">
      <alignment horizontal="left" vertical="top" wrapText="1"/>
    </xf>
    <xf numFmtId="0" fontId="20" fillId="2" borderId="0" applyAlignment="1" pivotButton="0" quotePrefix="0" xfId="0">
      <alignment horizontal="left" vertical="top" wrapText="1"/>
    </xf>
    <xf numFmtId="0" fontId="20" fillId="2" borderId="14" applyAlignment="1" pivotButton="0" quotePrefix="0" xfId="0">
      <alignment horizontal="left" vertical="top" wrapText="1"/>
    </xf>
    <xf numFmtId="0" fontId="20" fillId="2" borderId="6" applyAlignment="1" pivotButton="0" quotePrefix="0" xfId="0">
      <alignment horizontal="left" vertical="top" wrapText="1"/>
    </xf>
    <xf numFmtId="0" fontId="20" fillId="2" borderId="7" applyAlignment="1" pivotButton="0" quotePrefix="0" xfId="0">
      <alignment horizontal="left" vertical="top" wrapText="1"/>
    </xf>
    <xf numFmtId="0" fontId="20" fillId="2" borderId="8" applyAlignment="1" pivotButton="0" quotePrefix="0" xfId="0">
      <alignment horizontal="left" vertical="top" wrapText="1"/>
    </xf>
    <xf numFmtId="0" fontId="3" fillId="2" borderId="9" applyAlignment="1" pivotButton="0" quotePrefix="0" xfId="0">
      <alignment horizontal="left" vertical="center"/>
    </xf>
    <xf numFmtId="0" fontId="0" fillId="0" borderId="11" pivotButton="0" quotePrefix="0" xfId="0"/>
    <xf numFmtId="0" fontId="0" fillId="0" borderId="12" pivotButton="0" quotePrefix="0" xfId="0"/>
    <xf numFmtId="0" fontId="5" fillId="2" borderId="9" applyAlignment="1" pivotButton="0" quotePrefix="0" xfId="0">
      <alignment horizontal="center" vertical="center"/>
    </xf>
    <xf numFmtId="0" fontId="6" fillId="2" borderId="9" applyAlignment="1" pivotButton="0" quotePrefix="0" xfId="0">
      <alignment horizontal="center" vertical="center"/>
    </xf>
    <xf numFmtId="0" fontId="0" fillId="0" borderId="3" pivotButton="0" quotePrefix="0" xfId="0"/>
    <xf numFmtId="0" fontId="0" fillId="0" borderId="4" pivotButton="0" quotePrefix="0" xfId="0"/>
    <xf numFmtId="0" fontId="3" fillId="2" borderId="9"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167" fontId="9" fillId="2" borderId="9" applyAlignment="1" pivotButton="0" quotePrefix="0" xfId="0">
      <alignment horizontal="center" vertical="center"/>
    </xf>
    <xf numFmtId="0" fontId="7" fillId="2" borderId="5" applyAlignment="1" pivotButton="0" quotePrefix="0" xfId="0">
      <alignment horizontal="center" vertical="center"/>
    </xf>
    <xf numFmtId="167" fontId="7" fillId="2" borderId="9" applyAlignment="1" pivotButton="0" quotePrefix="0" xfId="0">
      <alignment horizontal="center" vertical="center"/>
    </xf>
    <xf numFmtId="0" fontId="16" fillId="2" borderId="1" applyAlignment="1" pivotButton="0" quotePrefix="0" xfId="0">
      <alignment horizontal="center" vertical="center" wrapText="1"/>
    </xf>
    <xf numFmtId="9" fontId="13" fillId="3" borderId="9" applyAlignment="1" pivotButton="0" quotePrefix="0" xfId="2">
      <alignment horizontal="center" vertical="center" wrapText="1"/>
    </xf>
    <xf numFmtId="165" fontId="13" fillId="3" borderId="9" applyAlignment="1" pivotButton="0" quotePrefix="0" xfId="2">
      <alignment horizontal="center" vertical="center" wrapText="1"/>
    </xf>
    <xf numFmtId="10" fontId="0" fillId="2" borderId="9" applyAlignment="1" pivotButton="0" quotePrefix="0" xfId="3">
      <alignment horizontal="center" vertical="center" wrapText="1"/>
    </xf>
    <xf numFmtId="9" fontId="18" fillId="2" borderId="9" applyAlignment="1" pivotButton="0" quotePrefix="0" xfId="3">
      <alignment horizontal="center" vertical="center"/>
    </xf>
    <xf numFmtId="9" fontId="0" fillId="2" borderId="9" applyAlignment="1" pivotButton="0" quotePrefix="0" xfId="3">
      <alignment horizontal="center" vertical="center" wrapText="1"/>
    </xf>
    <xf numFmtId="9" fontId="16" fillId="2" borderId="9" applyAlignment="1" pivotButton="0" quotePrefix="0" xfId="4">
      <alignment horizontal="center" vertical="center"/>
    </xf>
    <xf numFmtId="0" fontId="9" fillId="2" borderId="9" applyAlignment="1" pivotButton="0" quotePrefix="0" xfId="0">
      <alignment horizontal="center" vertical="center" wrapText="1"/>
    </xf>
    <xf numFmtId="0" fontId="3" fillId="2" borderId="1" applyAlignment="1" pivotButton="0" quotePrefix="0" xfId="0">
      <alignment horizontal="center" vertical="center" wrapText="1"/>
    </xf>
    <xf numFmtId="0" fontId="9" fillId="2" borderId="11" applyAlignment="1" pivotButton="0" quotePrefix="0" xfId="0">
      <alignment horizontal="center" vertical="center" wrapText="1"/>
    </xf>
    <xf numFmtId="0" fontId="0" fillId="0" borderId="13" pivotButton="0" quotePrefix="0" xfId="0"/>
    <xf numFmtId="0" fontId="0" fillId="0" borderId="14" pivotButton="0" quotePrefix="0" xfId="0"/>
    <xf numFmtId="0" fontId="3" fillId="2" borderId="9" applyAlignment="1" pivotButton="0" quotePrefix="0" xfId="0">
      <alignment horizontal="center" vertical="top"/>
    </xf>
    <xf numFmtId="0" fontId="3" fillId="6" borderId="9" applyAlignment="1" pivotButton="0" quotePrefix="0" xfId="0">
      <alignment horizontal="center" vertical="top"/>
    </xf>
    <xf numFmtId="0" fontId="3" fillId="2" borderId="10" applyAlignment="1" pivotButton="0" quotePrefix="0" xfId="0">
      <alignment horizontal="center" vertical="center" wrapText="1"/>
    </xf>
    <xf numFmtId="0" fontId="3" fillId="2" borderId="1" applyAlignment="1" pivotButton="0" quotePrefix="0" xfId="0">
      <alignment horizontal="center" vertical="center"/>
    </xf>
    <xf numFmtId="0" fontId="10" fillId="2" borderId="9" applyAlignment="1" pivotButton="0" quotePrefix="0" xfId="0">
      <alignment horizontal="left" vertical="top" wrapText="1"/>
    </xf>
    <xf numFmtId="0" fontId="11" fillId="2" borderId="9" applyAlignment="1" pivotButton="0" quotePrefix="0" xfId="0">
      <alignment horizontal="center" vertical="center"/>
    </xf>
    <xf numFmtId="0" fontId="12" fillId="2" borderId="9" applyAlignment="1" pivotButton="0" quotePrefix="0" xfId="0">
      <alignment horizontal="left" vertical="top" wrapText="1"/>
    </xf>
    <xf numFmtId="0" fontId="0" fillId="0" borderId="15" pivotButton="0" quotePrefix="0" xfId="0"/>
    <xf numFmtId="0" fontId="3" fillId="2" borderId="9" applyAlignment="1" pivotButton="0" quotePrefix="0" xfId="0">
      <alignment horizontal="left" vertical="top" wrapText="1"/>
    </xf>
  </cellXfs>
  <cellStyles count="5">
    <cellStyle name="Normal" xfId="0" builtinId="0"/>
    <cellStyle name="Percent" xfId="1" builtinId="5"/>
    <cellStyle name="Good" xfId="2" builtinId="26"/>
    <cellStyle name="Bad" xfId="3" builtinId="27"/>
    <cellStyle name="Neutral" xfId="4" builtinId="2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68"/>
  <sheetViews>
    <sheetView tabSelected="1" topLeftCell="A45" workbookViewId="0">
      <selection activeCell="O53" sqref="O53"/>
    </sheetView>
  </sheetViews>
  <sheetFormatPr baseColWidth="8" defaultColWidth="9.140625" defaultRowHeight="15"/>
  <cols>
    <col width="12" customWidth="1" style="1" min="1" max="1"/>
    <col width="9.140625" customWidth="1" style="1" min="2" max="3"/>
    <col width="20" customWidth="1" style="1" min="4" max="4"/>
    <col width="4.7109375" customWidth="1" style="1" min="5" max="5"/>
    <col width="10.28515625" customWidth="1" style="1" min="6" max="6"/>
    <col width="10" customWidth="1" style="1" min="7" max="7"/>
    <col width="9.140625" customWidth="1" style="1" min="8" max="8"/>
    <col width="9.85546875" customWidth="1" style="1" min="9" max="9"/>
    <col width="4.7109375" customWidth="1" style="1" min="10" max="10"/>
    <col width="23" customWidth="1" style="1" min="11" max="11"/>
    <col width="18.85546875" customWidth="1" style="1" min="12" max="12"/>
    <col width="25.140625" customWidth="1" style="1" min="13" max="13"/>
    <col width="18.28515625" customWidth="1" style="1" min="14" max="14"/>
    <col width="17.140625" customWidth="1" style="1" min="15" max="15"/>
    <col width="9.140625" customWidth="1" style="1" min="16" max="16"/>
    <col width="9.5703125" customWidth="1" style="1" min="17" max="17"/>
    <col width="10" customWidth="1" style="1" min="18" max="18"/>
    <col width="10.28515625" customWidth="1" style="1" min="19" max="19"/>
    <col width="12" customWidth="1" style="1" min="20" max="20"/>
    <col width="9.140625" customWidth="1" style="1" min="21" max="16384"/>
  </cols>
  <sheetData>
    <row r="1" ht="28.5" customHeight="1" thickBot="1">
      <c r="A1" s="5" t="inlineStr">
        <is>
          <t>STORE REVIEW</t>
        </is>
      </c>
      <c r="B1" s="133" t="n"/>
      <c r="C1" s="133" t="n"/>
      <c r="D1" s="133" t="n"/>
      <c r="E1" s="133" t="inlineStr">
        <is>
          <t xml:space="preserve"> </t>
        </is>
      </c>
      <c r="F1" s="7" t="inlineStr">
        <is>
          <t xml:space="preserve"> </t>
        </is>
      </c>
      <c r="G1" s="133" t="inlineStr">
        <is>
          <t xml:space="preserve"> </t>
        </is>
      </c>
      <c r="H1" s="133" t="n"/>
      <c r="I1" s="133" t="n"/>
      <c r="J1" s="133" t="n"/>
      <c r="K1" s="150" t="inlineStr">
        <is>
          <t>Evaluation Completed by: Jason Cole</t>
        </is>
      </c>
      <c r="L1" s="151" t="n"/>
      <c r="M1" s="151" t="n"/>
      <c r="N1" s="152" t="n"/>
      <c r="O1" s="133" t="n"/>
    </row>
    <row r="2" ht="21.75" customHeight="1">
      <c r="A2" s="153" t="inlineStr">
        <is>
          <t xml:space="preserve">Store </t>
        </is>
      </c>
      <c r="B2" s="154" t="inlineStr">
        <is>
          <t>Fairfield</t>
        </is>
      </c>
      <c r="C2" s="155" t="n"/>
      <c r="D2" s="156" t="n"/>
      <c r="E2" s="133" t="n"/>
      <c r="F2" s="21" t="inlineStr">
        <is>
          <t>Training</t>
        </is>
      </c>
      <c r="G2" s="155" t="n"/>
      <c r="H2" s="155" t="n"/>
      <c r="I2" s="156" t="n"/>
      <c r="J2" s="133" t="n"/>
      <c r="K2" s="157" t="n">
        <v>0</v>
      </c>
      <c r="L2" s="155" t="n"/>
      <c r="M2" s="155" t="n"/>
      <c r="N2" s="156" t="n"/>
      <c r="O2" s="9" t="n"/>
    </row>
    <row r="3" ht="23.25" customHeight="1" thickBot="1">
      <c r="A3" s="158" t="n"/>
      <c r="B3" s="159" t="n"/>
      <c r="C3" s="160" t="n"/>
      <c r="D3" s="161" t="n"/>
      <c r="E3" s="133" t="n"/>
      <c r="F3" s="159" t="n"/>
      <c r="G3" s="160" t="n"/>
      <c r="H3" s="160" t="n"/>
      <c r="I3" s="161" t="n"/>
      <c r="J3" s="133" t="n"/>
      <c r="K3" s="159" t="n"/>
      <c r="L3" s="160" t="n"/>
      <c r="M3" s="160" t="n"/>
      <c r="N3" s="161" t="n"/>
      <c r="O3" s="11" t="n"/>
    </row>
    <row r="4" ht="24" customHeight="1" thickBot="1">
      <c r="A4" s="12" t="inlineStr">
        <is>
          <t xml:space="preserve">Date </t>
        </is>
      </c>
      <c r="B4" s="162" t="n">
        <v>46125</v>
      </c>
      <c r="C4" s="151" t="n"/>
      <c r="D4" s="152" t="n"/>
      <c r="E4" s="133" t="n"/>
      <c r="F4" s="163" t="inlineStr">
        <is>
          <t>New Hires Met</t>
        </is>
      </c>
      <c r="G4" s="161" t="n"/>
      <c r="H4" s="21" t="n">
        <v>0</v>
      </c>
      <c r="I4" s="152" t="n"/>
      <c r="J4" s="133" t="n"/>
      <c r="K4" s="2" t="inlineStr">
        <is>
          <t>Number of Hrly Employees Had 5 min Conversation With</t>
        </is>
      </c>
      <c r="L4" s="12" t="inlineStr">
        <is>
          <t>Complete</t>
        </is>
      </c>
      <c r="M4" s="13" t="inlineStr">
        <is>
          <t># Rolling Racks Checked</t>
        </is>
      </c>
      <c r="N4" s="40" t="n">
        <v>0</v>
      </c>
      <c r="O4" s="14" t="n"/>
    </row>
    <row r="5" ht="25.5" customHeight="1">
      <c r="A5" s="2" t="inlineStr">
        <is>
          <t>Date Previous Evaluation</t>
        </is>
      </c>
      <c r="B5" s="164" t="n">
        <v>46104</v>
      </c>
      <c r="C5" s="151" t="n"/>
      <c r="D5" s="152" t="n"/>
      <c r="E5" s="133" t="n"/>
      <c r="F5" s="12" t="inlineStr">
        <is>
          <t xml:space="preserve">Number of New Hires </t>
        </is>
      </c>
      <c r="G5" s="152" t="n"/>
      <c r="H5" s="21" t="n">
        <v>0</v>
      </c>
      <c r="I5" s="152" t="n"/>
      <c r="J5" s="133" t="n"/>
      <c r="K5" s="16" t="inlineStr">
        <is>
          <t>Verifed Huddles                   Complete or Incomplete</t>
        </is>
      </c>
      <c r="L5" s="33" t="inlineStr">
        <is>
          <t>No</t>
        </is>
      </c>
      <c r="M5" s="12" t="inlineStr">
        <is>
          <t># Rolling Rack Items Sent Back</t>
        </is>
      </c>
      <c r="N5" s="41" t="n">
        <v>0</v>
      </c>
      <c r="O5" s="133" t="n"/>
    </row>
    <row r="6" ht="25.5" customHeight="1" thickBot="1">
      <c r="A6" s="17" t="n"/>
      <c r="B6" s="18" t="n"/>
      <c r="C6" s="19" t="n"/>
      <c r="D6" s="19" t="n"/>
      <c r="E6" s="133" t="n"/>
      <c r="F6" s="11" t="n"/>
      <c r="G6" s="11" t="n"/>
      <c r="H6" s="133" t="n"/>
      <c r="I6" s="9" t="n"/>
      <c r="J6" s="133" t="n"/>
      <c r="K6" s="13" t="n"/>
      <c r="L6" s="12" t="n"/>
      <c r="M6" s="13" t="inlineStr">
        <is>
          <t>Hang Count Variance</t>
        </is>
      </c>
      <c r="N6" s="35" t="n">
        <v>-0.15</v>
      </c>
      <c r="O6" s="133" t="n"/>
    </row>
    <row r="7" ht="48" customHeight="1">
      <c r="A7" s="165" t="inlineStr">
        <is>
          <t xml:space="preserve">Pre-Visit Data
</t>
        </is>
      </c>
      <c r="B7" s="155" t="n"/>
      <c r="C7" s="155" t="n"/>
      <c r="D7" s="155" t="n"/>
      <c r="E7" s="155" t="n"/>
      <c r="F7" s="155" t="n"/>
      <c r="G7" s="155" t="n"/>
      <c r="H7" s="155" t="n"/>
      <c r="I7" s="156" t="n"/>
      <c r="J7" s="133" t="n"/>
      <c r="K7" s="16" t="inlineStr">
        <is>
          <t>Ecommerce % +/- to Budget</t>
        </is>
      </c>
      <c r="L7" s="39" t="n">
        <v>0</v>
      </c>
      <c r="M7" s="13" t="inlineStr">
        <is>
          <t>Tote Count Variance</t>
        </is>
      </c>
      <c r="N7" s="35" t="n">
        <v>0</v>
      </c>
      <c r="O7" s="133" t="n"/>
    </row>
    <row r="8" ht="25.5" customHeight="1">
      <c r="A8" s="2" t="inlineStr">
        <is>
          <t>Rev % +/- to Budget</t>
        </is>
      </c>
      <c r="B8" s="152" t="n"/>
      <c r="C8" s="166" t="n">
        <v>-0.05285377089054355</v>
      </c>
      <c r="D8" s="152" t="n"/>
      <c r="E8" s="133" t="n"/>
      <c r="F8" s="2" t="inlineStr">
        <is>
          <t>Average Transaction +/- to LY</t>
        </is>
      </c>
      <c r="G8" s="152" t="n"/>
      <c r="H8" s="167" t="n">
        <v>0</v>
      </c>
      <c r="I8" s="152" t="n"/>
      <c r="J8" s="133" t="n"/>
      <c r="K8" s="2" t="inlineStr">
        <is>
          <t>Number of Ecommerce totes sent MTD</t>
        </is>
      </c>
      <c r="L8" s="34" t="n">
        <v>0</v>
      </c>
      <c r="M8" s="12" t="n"/>
      <c r="N8" s="12" t="n">
        <v>0</v>
      </c>
      <c r="O8" s="133" t="n"/>
    </row>
    <row r="9" ht="25.5" customHeight="1">
      <c r="A9" s="2" t="inlineStr">
        <is>
          <t>Rev % +/- to LY</t>
        </is>
      </c>
      <c r="B9" s="152" t="n"/>
      <c r="C9" s="166" t="n">
        <v>-0.1185930658118144</v>
      </c>
      <c r="D9" s="152" t="n"/>
      <c r="E9" s="133" t="n"/>
      <c r="F9" s="2" t="inlineStr">
        <is>
          <t>Labor % to Budget</t>
        </is>
      </c>
      <c r="G9" s="152" t="n"/>
      <c r="H9" s="168" t="n">
        <v>0.28</v>
      </c>
      <c r="I9" s="152" t="n"/>
      <c r="J9" s="133" t="n"/>
      <c r="K9" s="2" t="inlineStr">
        <is>
          <t>Is Truck Loaded Correctly</t>
        </is>
      </c>
      <c r="L9" s="12" t="inlineStr">
        <is>
          <t>Yes</t>
        </is>
      </c>
      <c r="M9" s="13" t="inlineStr">
        <is>
          <t># Totes Checked</t>
        </is>
      </c>
      <c r="N9" s="41" t="n">
        <v>0</v>
      </c>
      <c r="O9" s="133" t="n"/>
    </row>
    <row r="10" ht="25.5" customHeight="1">
      <c r="A10" s="2" t="inlineStr">
        <is>
          <t>Donation Growth % to LY</t>
        </is>
      </c>
      <c r="B10" s="152" t="n"/>
      <c r="C10" s="169" t="n">
        <v>0</v>
      </c>
      <c r="D10" s="152" t="n"/>
      <c r="E10" s="133" t="n"/>
      <c r="F10" s="2" t="inlineStr">
        <is>
          <t>Annualized Employee Turnover</t>
        </is>
      </c>
      <c r="G10" s="152" t="n"/>
      <c r="H10" s="170" t="n">
        <v>1.4</v>
      </c>
      <c r="I10" s="152" t="n"/>
      <c r="J10" s="133" t="n"/>
      <c r="K10" s="12" t="n"/>
      <c r="L10" s="2" t="n"/>
      <c r="M10" s="12" t="inlineStr">
        <is>
          <t># Tote Items Sent Back</t>
        </is>
      </c>
      <c r="N10" s="41" t="n">
        <v>0</v>
      </c>
      <c r="O10" s="133" t="n"/>
    </row>
    <row r="11" ht="25.5" customHeight="1">
      <c r="A11" s="2" t="inlineStr">
        <is>
          <t>30 Day Sell Through %</t>
        </is>
      </c>
      <c r="B11" s="152" t="n"/>
      <c r="C11" s="171" t="n">
        <v>0.4318181818181818</v>
      </c>
      <c r="D11" s="152" t="n"/>
      <c r="E11" s="133" t="n"/>
      <c r="F11" s="2" t="inlineStr">
        <is>
          <t># of Open Positions</t>
        </is>
      </c>
      <c r="G11" s="152" t="n"/>
      <c r="H11" s="172" t="n">
        <v>0</v>
      </c>
      <c r="I11" s="152" t="n"/>
      <c r="J11" s="133" t="n"/>
      <c r="K11" s="20" t="n"/>
      <c r="L11" s="20" t="n"/>
      <c r="M11" s="20" t="n"/>
      <c r="N11" s="20" t="n"/>
      <c r="O11" s="133" t="n"/>
    </row>
    <row r="12" ht="23.25" customHeight="1" thickBot="1">
      <c r="A12" s="173" t="inlineStr">
        <is>
          <t>Merchandising                                       Enter Yes or No</t>
        </is>
      </c>
      <c r="B12" s="155" t="n"/>
      <c r="C12" s="155" t="n"/>
      <c r="D12" s="156" t="n"/>
      <c r="E12" s="133" t="n"/>
      <c r="F12" s="133" t="n"/>
      <c r="G12" s="133" t="n"/>
      <c r="H12" s="133" t="n"/>
      <c r="I12" s="133" t="n"/>
      <c r="J12" s="133" t="n"/>
      <c r="K12" s="66" t="inlineStr">
        <is>
          <t>Error Rate Check Racks</t>
        </is>
      </c>
      <c r="L12" s="155" t="n"/>
      <c r="M12" s="174" t="inlineStr">
        <is>
          <t>Enter # (check a minimum of 4 racks)</t>
        </is>
      </c>
      <c r="N12" s="53" t="n"/>
      <c r="O12" s="133" t="n"/>
    </row>
    <row r="13" ht="24" customHeight="1" thickBot="1">
      <c r="A13" s="175" t="n"/>
      <c r="D13" s="176" t="n"/>
      <c r="E13" s="133" t="n"/>
      <c r="F13" s="157" t="inlineStr">
        <is>
          <t>Pull/Rotation Validation                                Enter Yes or No</t>
        </is>
      </c>
      <c r="G13" s="155" t="n"/>
      <c r="H13" s="155" t="n"/>
      <c r="I13" s="156" t="n"/>
      <c r="J13" s="133" t="n"/>
      <c r="K13" s="159" t="n"/>
      <c r="L13" s="160" t="n"/>
      <c r="M13" s="160" t="n"/>
      <c r="N13" s="54" t="inlineStr">
        <is>
          <t>% Auto Calc</t>
        </is>
      </c>
      <c r="O13" s="9" t="inlineStr">
        <is>
          <t xml:space="preserve"> </t>
        </is>
      </c>
    </row>
    <row r="14" ht="25.5" customHeight="1" thickBot="1">
      <c r="A14" s="12" t="inlineStr">
        <is>
          <t>Wares Shelves Full &amp; Presented Well</t>
        </is>
      </c>
      <c r="B14" s="151" t="n"/>
      <c r="C14" s="152" t="n"/>
      <c r="D14" s="37" t="inlineStr">
        <is>
          <t>Yes</t>
        </is>
      </c>
      <c r="E14" s="133" t="n"/>
      <c r="F14" s="159" t="n"/>
      <c r="G14" s="160" t="n"/>
      <c r="H14" s="160" t="n"/>
      <c r="I14" s="161" t="n"/>
      <c r="J14" s="133" t="n"/>
      <c r="K14" s="12" t="inlineStr">
        <is>
          <t>Total # of Items Checked</t>
        </is>
      </c>
      <c r="L14" s="152" t="n"/>
      <c r="M14" s="42" t="n">
        <v>0</v>
      </c>
      <c r="N14" s="21" t="n"/>
      <c r="O14" s="11" t="n"/>
    </row>
    <row r="15" ht="24.75" customHeight="1" thickBot="1">
      <c r="A15" s="12" t="inlineStr">
        <is>
          <t>Racks Full (70 - 80 items per 5 ft)</t>
        </is>
      </c>
      <c r="B15" s="151" t="n"/>
      <c r="C15" s="152" t="n"/>
      <c r="D15" s="37" t="inlineStr">
        <is>
          <t>Yes</t>
        </is>
      </c>
      <c r="E15" s="133" t="n"/>
      <c r="F15" s="12" t="inlineStr">
        <is>
          <t>Yes</t>
        </is>
      </c>
      <c r="G15" s="151" t="n"/>
      <c r="H15" s="152" t="n"/>
      <c r="I15" s="36" t="n"/>
      <c r="J15" s="133" t="n"/>
      <c r="K15" s="12" t="inlineStr">
        <is>
          <t># Wrong Price</t>
        </is>
      </c>
      <c r="L15" s="152" t="n"/>
      <c r="M15" s="43" t="n">
        <v>0</v>
      </c>
      <c r="N15" s="22">
        <f>M15/M14</f>
        <v/>
      </c>
      <c r="O15" s="14" t="n"/>
    </row>
    <row r="16" ht="20.25" customHeight="1" thickBot="1">
      <c r="A16" s="12" t="inlineStr">
        <is>
          <t>Shoe Racks Full</t>
        </is>
      </c>
      <c r="B16" s="151" t="n"/>
      <c r="C16" s="152" t="n"/>
      <c r="D16" s="37" t="inlineStr">
        <is>
          <t>Yes</t>
        </is>
      </c>
      <c r="E16" s="133" t="n"/>
      <c r="F16" s="12" t="inlineStr">
        <is>
          <t>Yes</t>
        </is>
      </c>
      <c r="G16" s="151" t="n"/>
      <c r="H16" s="152" t="n"/>
      <c r="I16" s="37" t="n"/>
      <c r="J16" s="133" t="n"/>
      <c r="K16" s="12" t="inlineStr">
        <is>
          <t># Defective</t>
        </is>
      </c>
      <c r="L16" s="152" t="n"/>
      <c r="M16" s="43" t="n">
        <v>0</v>
      </c>
      <c r="N16" s="22">
        <f>M16/M14</f>
        <v/>
      </c>
      <c r="O16" s="133" t="n"/>
    </row>
    <row r="17" ht="19.5" customHeight="1" thickBot="1">
      <c r="A17" s="12" t="inlineStr">
        <is>
          <t>End Caps Full &amp; Presented Well</t>
        </is>
      </c>
      <c r="B17" s="151" t="n"/>
      <c r="C17" s="152" t="n"/>
      <c r="D17" s="37" t="inlineStr">
        <is>
          <t>Yes</t>
        </is>
      </c>
      <c r="E17" s="133" t="n"/>
      <c r="F17" s="12" t="inlineStr">
        <is>
          <t>Yes</t>
        </is>
      </c>
      <c r="G17" s="151" t="n"/>
      <c r="H17" s="152" t="n"/>
      <c r="I17" s="37" t="n"/>
      <c r="J17" s="133" t="n"/>
      <c r="K17" s="12" t="inlineStr">
        <is>
          <t># Wrong Category/Size</t>
        </is>
      </c>
      <c r="L17" s="152" t="n"/>
      <c r="M17" s="43" t="n">
        <v>0</v>
      </c>
      <c r="N17" s="22">
        <f>M17/M14</f>
        <v/>
      </c>
      <c r="O17" s="133" t="n"/>
    </row>
    <row r="18" ht="21" customHeight="1" thickBot="1">
      <c r="A18" s="157" t="inlineStr">
        <is>
          <t>Store Cleanliness                                  Enter Yes or No</t>
        </is>
      </c>
      <c r="B18" s="155" t="n"/>
      <c r="C18" s="155" t="n"/>
      <c r="D18" s="156" t="n"/>
      <c r="E18" s="133" t="n"/>
      <c r="F18" s="12" t="inlineStr">
        <is>
          <t>Yes</t>
        </is>
      </c>
      <c r="G18" s="151" t="n"/>
      <c r="H18" s="152" t="n"/>
      <c r="I18" s="37" t="n"/>
      <c r="J18" s="133" t="n"/>
      <c r="K18" s="12" t="inlineStr">
        <is>
          <t xml:space="preserve"> Total Error Rate Rack</t>
        </is>
      </c>
      <c r="L18" s="152" t="n"/>
      <c r="M18" s="72" t="n"/>
      <c r="N18" s="23">
        <f>SUM(M15:M17)/M14</f>
        <v/>
      </c>
      <c r="O18" s="133" t="n"/>
    </row>
    <row r="19" ht="15.75" customHeight="1" thickBot="1">
      <c r="A19" s="159" t="n"/>
      <c r="B19" s="160" t="n"/>
      <c r="C19" s="160" t="n"/>
      <c r="D19" s="161" t="n"/>
      <c r="E19" s="133" t="n"/>
      <c r="F19" s="12" t="inlineStr">
        <is>
          <t>Yes</t>
        </is>
      </c>
      <c r="G19" s="151" t="n"/>
      <c r="H19" s="152" t="n"/>
      <c r="I19" s="38" t="n"/>
      <c r="J19" s="133" t="n"/>
      <c r="K19" s="11" t="n"/>
      <c r="L19" s="133" t="n"/>
      <c r="M19" s="11" t="n"/>
      <c r="N19" s="24" t="n"/>
      <c r="O19" s="133" t="n"/>
    </row>
    <row r="20" ht="26.25" customHeight="1" thickBot="1">
      <c r="A20" s="177" t="inlineStr">
        <is>
          <t>Parking Lot</t>
        </is>
      </c>
      <c r="B20" s="152" t="n"/>
      <c r="C20" s="178" t="inlineStr">
        <is>
          <t>Yes</t>
        </is>
      </c>
      <c r="D20" s="152" t="n"/>
      <c r="E20" s="133" t="n"/>
      <c r="F20" s="12" t="inlineStr">
        <is>
          <t>Yes</t>
        </is>
      </c>
      <c r="G20" s="151" t="n"/>
      <c r="H20" s="152" t="n"/>
      <c r="I20" s="37" t="n"/>
      <c r="J20" s="133" t="n"/>
      <c r="K20" s="179" t="inlineStr">
        <is>
          <t>Error Rate Check Container Labels</t>
        </is>
      </c>
      <c r="L20" s="155" t="n"/>
      <c r="M20" s="174" t="inlineStr">
        <is>
          <t>Enter # (all accessible visible containers)</t>
        </is>
      </c>
      <c r="N20" s="25" t="n"/>
      <c r="O20" s="133" t="n"/>
    </row>
    <row r="21" ht="20.25" customHeight="1">
      <c r="A21" s="177" t="inlineStr">
        <is>
          <t>Donation Area</t>
        </is>
      </c>
      <c r="B21" s="152" t="n"/>
      <c r="C21" s="178" t="inlineStr">
        <is>
          <t>Yes</t>
        </is>
      </c>
      <c r="D21" s="152" t="n"/>
      <c r="E21" s="133" t="n"/>
      <c r="F21" s="12" t="inlineStr">
        <is>
          <t>Yes</t>
        </is>
      </c>
      <c r="G21" s="151" t="n"/>
      <c r="H21" s="152" t="n"/>
      <c r="I21" s="37" t="n"/>
      <c r="J21" s="133" t="n"/>
      <c r="K21" s="159" t="n"/>
      <c r="L21" s="160" t="n"/>
      <c r="M21" s="160" t="n"/>
      <c r="N21" s="54" t="inlineStr">
        <is>
          <t>% Auto Calc</t>
        </is>
      </c>
      <c r="O21" s="133" t="n"/>
    </row>
    <row r="22" ht="19.5" customHeight="1" thickBot="1">
      <c r="A22" s="177" t="inlineStr">
        <is>
          <t>Windows / Entry</t>
        </is>
      </c>
      <c r="B22" s="152" t="n"/>
      <c r="C22" s="178" t="inlineStr">
        <is>
          <t>Yes</t>
        </is>
      </c>
      <c r="D22" s="152" t="n"/>
      <c r="E22" s="133" t="n"/>
      <c r="F22" s="11" t="inlineStr">
        <is>
          <t xml:space="preserve"> </t>
        </is>
      </c>
      <c r="G22" s="11" t="n"/>
      <c r="H22" s="11" t="n"/>
      <c r="I22" s="26" t="n"/>
      <c r="J22" s="133" t="n"/>
      <c r="K22" s="116" t="inlineStr">
        <is>
          <t>Total # Containers Checked</t>
        </is>
      </c>
      <c r="L22" s="155" t="n"/>
      <c r="M22" s="27" t="n">
        <v>0</v>
      </c>
      <c r="N22" s="28" t="n"/>
      <c r="O22" s="133" t="n"/>
    </row>
    <row r="23" ht="21.95" customHeight="1" thickBot="1">
      <c r="A23" s="180" t="inlineStr">
        <is>
          <t>Cash Wraps</t>
        </is>
      </c>
      <c r="B23" s="156" t="n"/>
      <c r="C23" s="38" t="inlineStr">
        <is>
          <t>Yes</t>
        </is>
      </c>
      <c r="D23" s="156" t="n"/>
      <c r="E23" s="133" t="n"/>
      <c r="F23" s="133" t="n"/>
      <c r="G23" s="29" t="n"/>
      <c r="H23" s="29" t="n"/>
      <c r="I23" s="29" t="n"/>
      <c r="J23" s="133" t="n"/>
      <c r="K23" s="71" t="inlineStr">
        <is>
          <t>Not Labeled</t>
        </is>
      </c>
      <c r="L23" s="151" t="n"/>
      <c r="M23" s="27" t="n">
        <v>0</v>
      </c>
      <c r="N23" s="3">
        <f>M23/M$22</f>
        <v/>
      </c>
      <c r="O23" s="133" t="n"/>
    </row>
    <row r="24" ht="21.95" customHeight="1" thickBot="1">
      <c r="A24" s="21" t="inlineStr">
        <is>
          <t>Floor / Racks</t>
        </is>
      </c>
      <c r="B24" s="152" t="n"/>
      <c r="C24" s="37" t="inlineStr">
        <is>
          <t>Yes</t>
        </is>
      </c>
      <c r="D24" s="152" t="n"/>
      <c r="E24" s="133" t="n"/>
      <c r="F24" s="29" t="n"/>
      <c r="G24" s="29" t="n"/>
      <c r="H24" s="29" t="n"/>
      <c r="I24" s="29" t="n"/>
      <c r="J24" s="133" t="n"/>
      <c r="K24" s="71" t="inlineStr">
        <is>
          <t>Labeled as Salvage but is Raw</t>
        </is>
      </c>
      <c r="L24" s="151" t="n"/>
      <c r="M24" s="27" t="n">
        <v>0</v>
      </c>
      <c r="N24" s="3">
        <f>M24/M$22</f>
        <v/>
      </c>
      <c r="O24" s="133" t="n"/>
    </row>
    <row r="25" ht="21.95" customHeight="1" thickBot="1">
      <c r="A25" s="21" t="inlineStr">
        <is>
          <t>Wares / Shelves</t>
        </is>
      </c>
      <c r="B25" s="152" t="n"/>
      <c r="C25" s="37" t="inlineStr">
        <is>
          <t>Yes</t>
        </is>
      </c>
      <c r="D25" s="152" t="n"/>
      <c r="E25" s="133" t="n"/>
      <c r="F25" s="11" t="n"/>
      <c r="G25" s="19" t="n"/>
      <c r="H25" s="19" t="n"/>
      <c r="I25" s="133" t="n"/>
      <c r="J25" s="133" t="n"/>
      <c r="K25" s="71" t="inlineStr">
        <is>
          <t>Labeled as Raw but is Salvage</t>
        </is>
      </c>
      <c r="L25" s="151" t="n"/>
      <c r="M25" s="12" t="n">
        <v>0</v>
      </c>
      <c r="N25" s="3">
        <f>M25/M$22</f>
        <v/>
      </c>
      <c r="O25" s="133" t="n"/>
    </row>
    <row r="26" ht="21.95" customHeight="1" thickBot="1">
      <c r="A26" s="21" t="inlineStr">
        <is>
          <t>Fitting Rooms</t>
        </is>
      </c>
      <c r="B26" s="152" t="n"/>
      <c r="C26" s="37" t="inlineStr">
        <is>
          <t>Yes</t>
        </is>
      </c>
      <c r="D26" s="152" t="n"/>
      <c r="E26" s="133" t="n"/>
      <c r="F26" s="11" t="n"/>
      <c r="G26" s="19" t="n"/>
      <c r="H26" s="19" t="n"/>
      <c r="I26" s="133" t="n"/>
      <c r="J26" s="133" t="n"/>
      <c r="K26" s="71" t="inlineStr">
        <is>
          <t>Labeled as Soft but is Hard</t>
        </is>
      </c>
      <c r="L26" s="151" t="n"/>
      <c r="M26" s="12" t="n">
        <v>0</v>
      </c>
      <c r="N26" s="3">
        <f>M26/M$22</f>
        <v/>
      </c>
      <c r="O26" s="133" t="n"/>
    </row>
    <row r="27" ht="21.95" customHeight="1" thickBot="1">
      <c r="A27" s="21" t="inlineStr">
        <is>
          <t>Production Room</t>
        </is>
      </c>
      <c r="B27" s="152" t="n"/>
      <c r="C27" s="37" t="inlineStr">
        <is>
          <t>Yes</t>
        </is>
      </c>
      <c r="D27" s="152" t="n"/>
      <c r="E27" s="133" t="n"/>
      <c r="F27" s="11" t="n"/>
      <c r="G27" s="19" t="n"/>
      <c r="H27" s="19" t="n"/>
      <c r="I27" s="133" t="n"/>
      <c r="J27" s="26" t="n"/>
      <c r="K27" s="71" t="inlineStr">
        <is>
          <t>Labeled as Hard but is Soft</t>
        </is>
      </c>
      <c r="L27" s="151" t="n"/>
      <c r="M27" s="12" t="n">
        <v>0</v>
      </c>
      <c r="N27" s="3">
        <f>M27/M$22</f>
        <v/>
      </c>
      <c r="O27" s="133" t="n"/>
    </row>
    <row r="28" ht="21.95" customHeight="1" thickBot="1">
      <c r="A28" s="21" t="inlineStr">
        <is>
          <t>Offices</t>
        </is>
      </c>
      <c r="B28" s="152" t="n"/>
      <c r="C28" s="37" t="inlineStr">
        <is>
          <t>Yes</t>
        </is>
      </c>
      <c r="D28" s="152" t="n"/>
      <c r="E28" s="133" t="n"/>
      <c r="F28" s="11" t="n"/>
      <c r="G28" s="19" t="n"/>
      <c r="H28" s="19" t="n"/>
      <c r="I28" s="133" t="n"/>
      <c r="J28" s="26" t="n"/>
      <c r="K28" s="71" t="inlineStr">
        <is>
          <t>Total Error Rate Container Labels</t>
        </is>
      </c>
      <c r="L28" s="151" t="n"/>
      <c r="M28" s="12" t="n"/>
      <c r="N28" s="3">
        <f>SUM(M23:M27)/M22</f>
        <v/>
      </c>
      <c r="O28" s="133" t="n"/>
    </row>
    <row r="29">
      <c r="A29" s="133" t="n"/>
      <c r="B29" s="133" t="n"/>
      <c r="C29" s="133" t="n"/>
      <c r="D29" s="133" t="n"/>
      <c r="E29" s="133" t="n"/>
      <c r="F29" s="26" t="n"/>
      <c r="G29" s="26" t="n"/>
      <c r="H29" s="26" t="n"/>
      <c r="I29" s="26" t="n"/>
      <c r="J29" s="26" t="n"/>
      <c r="K29" s="133" t="n"/>
      <c r="L29" s="133" t="n"/>
      <c r="M29" s="133" t="n"/>
      <c r="N29" s="133" t="n"/>
      <c r="O29" s="30" t="n"/>
      <c r="P29" s="4" t="n"/>
    </row>
    <row r="30" ht="15.75" customHeight="1" thickBot="1">
      <c r="A30" s="7" t="inlineStr">
        <is>
          <t>General Store Comments</t>
        </is>
      </c>
      <c r="B30" s="133" t="n"/>
      <c r="C30" s="133" t="n"/>
      <c r="D30" s="133" t="n"/>
      <c r="E30" s="133" t="n"/>
      <c r="F30" s="26" t="n"/>
      <c r="G30" s="26" t="n"/>
      <c r="H30" s="26" t="n"/>
      <c r="I30" s="26" t="n"/>
      <c r="J30" s="26" t="n"/>
      <c r="K30" s="26" t="n"/>
      <c r="L30" s="26" t="n"/>
      <c r="M30" s="26" t="n"/>
      <c r="N30" s="26" t="n"/>
      <c r="O30" s="30" t="n"/>
      <c r="P30" s="4" t="n"/>
    </row>
    <row r="31">
      <c r="A31" s="181" t="inlineStr">
        <is>
          <t>Fairfield has reached $54,209 in MTD sales against a budget of $57,234, putting the store 5.3% below budget and 11.9% behind last year. Kimra Cappelletty and her assistant managers Kristin Lewis and Nadeisha Cummings have work to do to close this gap before month end. The store is currently short by about $3,025 to budget, so a strong push over the remaining days is critical.
There are some positives worth recognizing. Sell-through at 43.2% is strong, which tells me the team is doing a good job pricing and rotating product on the floor. That is a real win. Labor is at 28.0%, which is under the 30% target. The team is managing payroll well and keeping costs in check. There were no observation gaps noted during this visit, which means the store looked sharp across cleanliness, merchandising, and pull standards. That reflects solid daily execution by the entire team. Kimra, Kristin, and Nadeisha should be proud of that. There are also no open positions, so the store is fully staffed.
However, the areas of concern are significant. The unit goal deficit stands at 12,406 units below the monthly goal of 28,980. That is a major gap and signals that production output needs to ramp up immediately. Without more units hitting the floor, the sales gap will only widen. Donation growth is flat at 0.0% compared to last year, which means community engagement and donation drives need attention. Ecommerce is also flat with zero totes shipped this month and 0.0% to budget. This is a missed revenue stream that needs to be activated right away.
Focus areas heading into the next two weeks:
- Dramatically increase daily production output to close the 12,406-unit deficit
- Launch ecommerce operations and begin shipping totes immediately
- Develop a plan to drive donation growth above last year
- Maintain the strong sell-through, labor management, and store standards
- Push for daily sales targets to close the $3,025 budget gap</t>
        </is>
      </c>
      <c r="B31" s="155" t="n"/>
      <c r="C31" s="155" t="n"/>
      <c r="D31" s="155" t="n"/>
      <c r="E31" s="155" t="n"/>
      <c r="F31" s="155" t="n"/>
      <c r="G31" s="155" t="n"/>
      <c r="H31" s="155" t="n"/>
      <c r="I31" s="155" t="n"/>
      <c r="J31" s="155" t="n"/>
      <c r="K31" s="155" t="n"/>
      <c r="L31" s="155" t="n"/>
      <c r="M31" s="155" t="n"/>
      <c r="N31" s="156" t="n"/>
      <c r="O31" s="30" t="n"/>
      <c r="P31" s="4" t="n"/>
    </row>
    <row r="32">
      <c r="A32" s="175" t="n"/>
      <c r="N32" s="176" t="n"/>
      <c r="O32" s="30" t="n"/>
      <c r="P32" s="4" t="n"/>
    </row>
    <row r="33">
      <c r="A33" s="175" t="n"/>
      <c r="N33" s="176" t="n"/>
      <c r="O33" s="30" t="n"/>
      <c r="P33" s="4" t="n"/>
    </row>
    <row r="34" ht="15" customHeight="1">
      <c r="A34" s="175" t="n"/>
      <c r="N34" s="176" t="n"/>
      <c r="O34" s="30" t="n"/>
      <c r="P34" s="4" t="n"/>
    </row>
    <row r="35">
      <c r="A35" s="175" t="n"/>
      <c r="N35" s="176" t="n"/>
      <c r="O35" s="133" t="n"/>
    </row>
    <row r="36">
      <c r="A36" s="175" t="n"/>
      <c r="N36" s="176" t="n"/>
      <c r="O36" s="133" t="n"/>
    </row>
    <row r="37" ht="195.75" customHeight="1">
      <c r="A37" s="159" t="n"/>
      <c r="B37" s="160" t="n"/>
      <c r="C37" s="160" t="n"/>
      <c r="D37" s="160" t="n"/>
      <c r="E37" s="160" t="n"/>
      <c r="F37" s="160" t="n"/>
      <c r="G37" s="160" t="n"/>
      <c r="H37" s="160" t="n"/>
      <c r="I37" s="160" t="n"/>
      <c r="J37" s="160" t="n"/>
      <c r="K37" s="160" t="n"/>
      <c r="L37" s="160" t="n"/>
      <c r="M37" s="160" t="n"/>
      <c r="N37" s="161" t="n"/>
      <c r="O37" s="133" t="n"/>
    </row>
    <row r="38">
      <c r="A38" s="31" t="n"/>
      <c r="B38" s="133" t="n"/>
      <c r="C38" s="133" t="n"/>
      <c r="D38" s="133" t="n"/>
      <c r="E38" s="133" t="n"/>
      <c r="F38" s="133" t="n"/>
      <c r="G38" s="133" t="n"/>
      <c r="H38" s="133" t="n"/>
      <c r="I38" s="133" t="n"/>
      <c r="J38" s="133" t="n"/>
      <c r="K38" s="133" t="n"/>
      <c r="L38" s="133" t="n"/>
      <c r="M38" s="133" t="n"/>
      <c r="N38" s="133" t="n"/>
      <c r="O38" s="133" t="n"/>
    </row>
    <row r="39" ht="19.5" customHeight="1" thickBot="1">
      <c r="A39" s="32" t="inlineStr">
        <is>
          <t>Three Most Important Priorities</t>
        </is>
      </c>
      <c r="B39" s="133" t="n"/>
      <c r="C39" s="133" t="n"/>
      <c r="D39" s="133" t="n"/>
      <c r="E39" s="133" t="n"/>
      <c r="F39" s="133" t="n"/>
      <c r="G39" s="133" t="n"/>
      <c r="H39" s="133" t="n"/>
      <c r="I39" s="133" t="n"/>
      <c r="J39" s="133" t="n"/>
      <c r="K39" s="133" t="n"/>
      <c r="L39" s="133" t="n"/>
      <c r="M39" s="133" t="n"/>
      <c r="N39" s="133" t="n"/>
      <c r="O39" s="133" t="n"/>
    </row>
    <row r="40" ht="15" customHeight="1">
      <c r="A40" s="182" t="n">
        <v>1</v>
      </c>
      <c r="B40" s="66" t="inlineStr">
        <is>
          <t>Opportunity</t>
        </is>
      </c>
      <c r="C40" s="155" t="n"/>
      <c r="D40" s="183" t="inlineStr">
        <is>
          <t>Fairfield is 12,406 units below the monthly goal of 28,980 units. Production output must increase significantly to support sales and close the budget gap by 4/27/26.</t>
        </is>
      </c>
      <c r="E40" s="155" t="n"/>
      <c r="F40" s="155" t="n"/>
      <c r="G40" s="155" t="n"/>
      <c r="H40" s="155" t="n"/>
      <c r="I40" s="155" t="n"/>
      <c r="J40" s="155" t="n"/>
      <c r="K40" s="155" t="n"/>
      <c r="L40" s="155" t="n"/>
      <c r="M40" s="155" t="n"/>
      <c r="N40" s="156" t="n"/>
      <c r="O40" s="30" t="n"/>
      <c r="P40" s="4" t="n"/>
      <c r="Q40" s="4" t="n"/>
      <c r="R40" s="4" t="n"/>
      <c r="S40" s="4" t="n"/>
      <c r="T40" s="4" t="n"/>
    </row>
    <row r="41" ht="15.75" customHeight="1" thickBot="1">
      <c r="A41" s="184" t="n"/>
      <c r="B41" s="159" t="n"/>
      <c r="C41" s="160" t="n"/>
      <c r="D41" s="159" t="n"/>
      <c r="E41" s="160" t="n"/>
      <c r="F41" s="160" t="n"/>
      <c r="G41" s="160" t="n"/>
      <c r="H41" s="160" t="n"/>
      <c r="I41" s="160" t="n"/>
      <c r="J41" s="160" t="n"/>
      <c r="K41" s="160" t="n"/>
      <c r="L41" s="160" t="n"/>
      <c r="M41" s="160" t="n"/>
      <c r="N41" s="161" t="n"/>
      <c r="O41" s="30" t="n"/>
      <c r="P41" s="4" t="n"/>
      <c r="Q41" s="4" t="n"/>
      <c r="R41" s="4" t="n"/>
      <c r="S41" s="4" t="n"/>
      <c r="T41" s="4" t="n"/>
    </row>
    <row r="42" ht="15" customHeight="1">
      <c r="A42" s="184" t="n"/>
      <c r="B42" s="179" t="inlineStr">
        <is>
          <t>Action Plan            (Smart Goal)</t>
        </is>
      </c>
      <c r="C42" s="155" t="n"/>
      <c r="D42" s="185" t="inlineStr">
        <is>
          <t>Responsible: Kimra Cappelletty
- Review daily production numbers and set a minimum daily unit target to recover the deficit
- Assign Kristin Lewis and Nadeisha Cummings to oversee production workflow during peak shifts
- Identify and remove any bottlenecks in sorting, pricing, and floor placement
- Track progress daily and adjust staffing assignments to keep production on pace
- Ensure backroom inventory is processed and moved to the floor within 24 hours</t>
        </is>
      </c>
      <c r="E42" s="155" t="n"/>
      <c r="F42" s="155" t="n"/>
      <c r="G42" s="155" t="n"/>
      <c r="H42" s="155" t="n"/>
      <c r="I42" s="155" t="n"/>
      <c r="J42" s="155" t="n"/>
      <c r="K42" s="155" t="n"/>
      <c r="L42" s="155" t="n"/>
      <c r="M42" s="155" t="n"/>
      <c r="N42" s="156" t="n"/>
      <c r="O42" s="30" t="n"/>
      <c r="P42" s="4" t="n"/>
      <c r="Q42" s="4" t="n"/>
      <c r="R42" s="4" t="n"/>
      <c r="S42" s="4" t="n"/>
      <c r="T42" s="4" t="n"/>
    </row>
    <row r="43">
      <c r="A43" s="184" t="n"/>
      <c r="B43" s="175" t="n"/>
      <c r="D43" s="175" t="n"/>
      <c r="N43" s="176" t="n"/>
      <c r="O43" s="30" t="n"/>
      <c r="P43" s="4" t="n"/>
      <c r="Q43" s="4" t="n"/>
      <c r="R43" s="4" t="n"/>
      <c r="S43" s="4" t="n"/>
      <c r="T43" s="4" t="n"/>
    </row>
    <row r="44" ht="77.25" customHeight="1" thickBot="1">
      <c r="A44" s="158" t="n"/>
      <c r="B44" s="159" t="n"/>
      <c r="C44" s="160" t="n"/>
      <c r="D44" s="159" t="n"/>
      <c r="E44" s="160" t="n"/>
      <c r="F44" s="160" t="n"/>
      <c r="G44" s="160" t="n"/>
      <c r="H44" s="160" t="n"/>
      <c r="I44" s="160" t="n"/>
      <c r="J44" s="160" t="n"/>
      <c r="K44" s="160" t="n"/>
      <c r="L44" s="160" t="n"/>
      <c r="M44" s="160" t="n"/>
      <c r="N44" s="161" t="n"/>
      <c r="O44" s="30" t="n"/>
      <c r="P44" s="4" t="n"/>
      <c r="Q44" s="4" t="n"/>
      <c r="R44" s="4" t="n"/>
      <c r="S44" s="4" t="n"/>
      <c r="T44" s="4" t="n"/>
    </row>
    <row r="45" ht="15.75" customHeight="1" thickBot="1">
      <c r="A45" s="133" t="n"/>
      <c r="B45" s="133" t="n"/>
      <c r="C45" s="133" t="n"/>
      <c r="D45" s="30" t="n"/>
      <c r="E45" s="30" t="n"/>
      <c r="F45" s="30" t="n"/>
      <c r="G45" s="30" t="n"/>
      <c r="H45" s="30" t="n"/>
      <c r="I45" s="30" t="n"/>
      <c r="J45" s="30" t="n"/>
      <c r="K45" s="30" t="n"/>
      <c r="L45" s="30" t="n"/>
      <c r="M45" s="30" t="n"/>
      <c r="N45" s="30" t="n"/>
      <c r="O45" s="30" t="n"/>
      <c r="P45" s="4" t="n"/>
      <c r="Q45" s="4" t="n"/>
      <c r="R45" s="4" t="n"/>
      <c r="S45" s="4" t="n"/>
      <c r="T45" s="4" t="n"/>
    </row>
    <row r="46" ht="15" customHeight="1">
      <c r="A46" s="182" t="n">
        <v>2</v>
      </c>
      <c r="B46" s="66" t="inlineStr">
        <is>
          <t>Opportunity</t>
        </is>
      </c>
      <c r="C46" s="155" t="n"/>
      <c r="D46" s="183" t="inlineStr">
        <is>
          <t>Ecommerce is at 0.0% to budget with zero totes shipped MTD. This revenue channel is completely inactive and must be launched immediately by 4/27/26.</t>
        </is>
      </c>
      <c r="E46" s="155" t="n"/>
      <c r="F46" s="155" t="n"/>
      <c r="G46" s="155" t="n"/>
      <c r="H46" s="155" t="n"/>
      <c r="I46" s="155" t="n"/>
      <c r="J46" s="155" t="n"/>
      <c r="K46" s="155" t="n"/>
      <c r="L46" s="155" t="n"/>
      <c r="M46" s="155" t="n"/>
      <c r="N46" s="156" t="n"/>
      <c r="O46" s="30" t="n"/>
      <c r="P46" s="4" t="n"/>
      <c r="Q46" s="4" t="n"/>
      <c r="R46" s="4" t="n"/>
      <c r="S46" s="4" t="n"/>
      <c r="T46" s="4" t="n"/>
    </row>
    <row r="47" ht="15.75" customHeight="1" thickBot="1">
      <c r="A47" s="184" t="n"/>
      <c r="B47" s="159" t="n"/>
      <c r="C47" s="160" t="n"/>
      <c r="D47" s="159" t="n"/>
      <c r="E47" s="160" t="n"/>
      <c r="F47" s="160" t="n"/>
      <c r="G47" s="160" t="n"/>
      <c r="H47" s="160" t="n"/>
      <c r="I47" s="160" t="n"/>
      <c r="J47" s="160" t="n"/>
      <c r="K47" s="160" t="n"/>
      <c r="L47" s="160" t="n"/>
      <c r="M47" s="160" t="n"/>
      <c r="N47" s="161" t="n"/>
      <c r="O47" s="30" t="n"/>
      <c r="P47" s="4" t="n"/>
      <c r="Q47" s="4" t="n"/>
      <c r="R47" s="4" t="n"/>
      <c r="S47" s="4" t="n"/>
      <c r="T47" s="4" t="n"/>
    </row>
    <row r="48" ht="15" customHeight="1">
      <c r="A48" s="184" t="n"/>
      <c r="B48" s="179" t="inlineStr">
        <is>
          <t>Action Plan            (Smart Goal)</t>
        </is>
      </c>
      <c r="C48" s="155" t="n"/>
      <c r="D48" s="185" t="inlineStr">
        <is>
          <t>Responsible: Nadeisha Cummings
- Identify and pull ecommerce-eligible items from donations and backstock daily
- Set a daily tote goal and begin listing and shipping within the next three days
- Train at least two team members on ecommerce processes to maintain consistent output
- Report tote counts to Kimra Cappelletty daily to ensure accountability</t>
        </is>
      </c>
      <c r="E48" s="155" t="n"/>
      <c r="F48" s="155" t="n"/>
      <c r="G48" s="155" t="n"/>
      <c r="H48" s="155" t="n"/>
      <c r="I48" s="155" t="n"/>
      <c r="J48" s="155" t="n"/>
      <c r="K48" s="155" t="n"/>
      <c r="L48" s="155" t="n"/>
      <c r="M48" s="155" t="n"/>
      <c r="N48" s="156" t="n"/>
      <c r="O48" s="30" t="n"/>
      <c r="P48" s="4" t="n"/>
      <c r="Q48" s="4" t="n"/>
      <c r="R48" s="4" t="n"/>
      <c r="S48" s="4" t="n"/>
      <c r="T48" s="4" t="n"/>
    </row>
    <row r="49">
      <c r="A49" s="184" t="n"/>
      <c r="B49" s="175" t="n"/>
      <c r="D49" s="175" t="n"/>
      <c r="N49" s="176" t="n"/>
      <c r="O49" s="30" t="n"/>
      <c r="P49" s="4" t="n"/>
      <c r="Q49" s="4" t="n"/>
      <c r="R49" s="4" t="n"/>
      <c r="S49" s="4" t="n"/>
      <c r="T49" s="4" t="n"/>
    </row>
    <row r="50" ht="33.75" customHeight="1" thickBot="1">
      <c r="A50" s="158" t="n"/>
      <c r="B50" s="159" t="n"/>
      <c r="C50" s="160" t="n"/>
      <c r="D50" s="159" t="n"/>
      <c r="E50" s="160" t="n"/>
      <c r="F50" s="160" t="n"/>
      <c r="G50" s="160" t="n"/>
      <c r="H50" s="160" t="n"/>
      <c r="I50" s="160" t="n"/>
      <c r="J50" s="160" t="n"/>
      <c r="K50" s="160" t="n"/>
      <c r="L50" s="160" t="n"/>
      <c r="M50" s="160" t="n"/>
      <c r="N50" s="161" t="n"/>
      <c r="O50" s="30" t="n"/>
      <c r="P50" s="4" t="n"/>
      <c r="Q50" s="4" t="n"/>
      <c r="R50" s="4" t="n"/>
      <c r="S50" s="4" t="n"/>
      <c r="T50" s="4" t="n"/>
    </row>
    <row r="51">
      <c r="A51" s="133" t="n"/>
      <c r="B51" s="133" t="n"/>
      <c r="C51" s="133" t="n"/>
      <c r="D51" s="30" t="n"/>
      <c r="E51" s="30" t="n"/>
      <c r="F51" s="30" t="n"/>
      <c r="G51" s="30" t="n"/>
      <c r="H51" s="30" t="n"/>
      <c r="I51" s="30" t="n"/>
      <c r="J51" s="30" t="n"/>
      <c r="K51" s="30" t="n"/>
      <c r="L51" s="30" t="n"/>
      <c r="M51" s="30" t="n"/>
      <c r="N51" s="30" t="n"/>
      <c r="O51" s="30" t="n"/>
      <c r="P51" s="4" t="n"/>
      <c r="Q51" s="4" t="n"/>
      <c r="R51" s="4" t="n"/>
      <c r="S51" s="4" t="n"/>
      <c r="T51" s="4" t="n"/>
    </row>
    <row r="52" ht="15" customHeight="1">
      <c r="A52" s="182" t="n">
        <v>3</v>
      </c>
      <c r="B52" s="66" t="inlineStr">
        <is>
          <t>Opportunity</t>
        </is>
      </c>
      <c r="C52" s="155" t="n"/>
      <c r="D52" s="183" t="inlineStr">
        <is>
          <t>Donation growth is flat at 0.0% compared to last year. Fairfield needs to actively drive donation volume to support production and sales by 4/27/26.</t>
        </is>
      </c>
      <c r="E52" s="155" t="n"/>
      <c r="F52" s="155" t="n"/>
      <c r="G52" s="155" t="n"/>
      <c r="H52" s="155" t="n"/>
      <c r="I52" s="155" t="n"/>
      <c r="J52" s="155" t="n"/>
      <c r="K52" s="155" t="n"/>
      <c r="L52" s="155" t="n"/>
      <c r="M52" s="155" t="n"/>
      <c r="N52" s="156" t="n"/>
      <c r="O52" s="30" t="n"/>
      <c r="P52" s="4" t="n"/>
      <c r="Q52" s="4" t="n"/>
      <c r="R52" s="4" t="n"/>
      <c r="S52" s="4" t="n"/>
      <c r="T52" s="4" t="n"/>
    </row>
    <row r="53" ht="15.75" customHeight="1">
      <c r="A53" s="184" t="n"/>
      <c r="B53" s="159" t="n"/>
      <c r="C53" s="160" t="n"/>
      <c r="D53" s="159" t="n"/>
      <c r="E53" s="160" t="n"/>
      <c r="F53" s="160" t="n"/>
      <c r="G53" s="160" t="n"/>
      <c r="H53" s="160" t="n"/>
      <c r="I53" s="160" t="n"/>
      <c r="J53" s="160" t="n"/>
      <c r="K53" s="160" t="n"/>
      <c r="L53" s="160" t="n"/>
      <c r="M53" s="160" t="n"/>
      <c r="N53" s="161" t="n"/>
      <c r="O53" s="30" t="n"/>
      <c r="P53" s="4" t="n"/>
      <c r="Q53" s="4" t="n"/>
      <c r="R53" s="4" t="n"/>
      <c r="S53" s="4" t="n"/>
      <c r="T53" s="4" t="n"/>
    </row>
    <row r="54" ht="15" customHeight="1">
      <c r="A54" s="184" t="n"/>
      <c r="B54" s="179" t="inlineStr">
        <is>
          <t>Action Plan            (Smart Goal)</t>
        </is>
      </c>
      <c r="C54" s="155" t="n"/>
      <c r="D54" s="185" t="inlineStr">
        <is>
          <t>Responsible: Kristin Lewis
- Implement a local donation drive or outreach effort within the next week
- Ensure the donation door area is clean, welcoming, and well-signed to encourage drop-offs
- Engage with donors at the door and thank them to encourage repeat visits
- Coordinate with Kimra Cappelletty on any community partnership opportunities to boost donations</t>
        </is>
      </c>
      <c r="E54" s="155" t="n"/>
      <c r="F54" s="155" t="n"/>
      <c r="G54" s="155" t="n"/>
      <c r="H54" s="155" t="n"/>
      <c r="I54" s="155" t="n"/>
      <c r="J54" s="155" t="n"/>
      <c r="K54" s="155" t="n"/>
      <c r="L54" s="155" t="n"/>
      <c r="M54" s="155" t="n"/>
      <c r="N54" s="156" t="n"/>
      <c r="O54" s="30" t="n"/>
      <c r="P54" s="4" t="n"/>
      <c r="Q54" s="4" t="n"/>
      <c r="R54" s="4" t="n"/>
      <c r="S54" s="4" t="n"/>
      <c r="T54" s="4" t="n"/>
    </row>
    <row r="55">
      <c r="A55" s="184" t="n"/>
      <c r="B55" s="175" t="n"/>
      <c r="D55" s="175" t="n"/>
      <c r="N55" s="176" t="n"/>
      <c r="O55" s="30" t="n"/>
      <c r="P55" s="4" t="n"/>
      <c r="Q55" s="4" t="n"/>
      <c r="R55" s="4" t="n"/>
      <c r="S55" s="4" t="n"/>
      <c r="T55" s="4" t="n"/>
    </row>
    <row r="56" ht="68.25" customHeight="1" thickBot="1">
      <c r="A56" s="158" t="n"/>
      <c r="B56" s="159" t="n"/>
      <c r="C56" s="160" t="n"/>
      <c r="D56" s="159" t="n"/>
      <c r="E56" s="160" t="n"/>
      <c r="F56" s="160" t="n"/>
      <c r="G56" s="160" t="n"/>
      <c r="H56" s="160" t="n"/>
      <c r="I56" s="160" t="n"/>
      <c r="J56" s="160" t="n"/>
      <c r="K56" s="160" t="n"/>
      <c r="L56" s="160" t="n"/>
      <c r="M56" s="160" t="n"/>
      <c r="N56" s="161" t="n"/>
      <c r="O56" s="30" t="n"/>
      <c r="P56" s="4" t="n"/>
      <c r="Q56" s="4" t="n"/>
      <c r="R56" s="4" t="n"/>
      <c r="S56" s="4" t="n"/>
      <c r="T56" s="4" t="n"/>
    </row>
    <row r="57">
      <c r="A57" s="133" t="n"/>
      <c r="B57" s="133" t="n"/>
      <c r="C57" s="133" t="n"/>
      <c r="D57" s="133" t="n"/>
      <c r="E57" s="133" t="n"/>
      <c r="F57" s="133" t="n"/>
      <c r="G57" s="133" t="n"/>
      <c r="H57" s="133" t="n"/>
      <c r="I57" s="133" t="n"/>
      <c r="J57" s="133" t="n"/>
      <c r="K57" s="133" t="n"/>
      <c r="L57" s="133" t="n"/>
      <c r="M57" s="133" t="n"/>
      <c r="N57" s="133" t="n"/>
      <c r="O57" s="133" t="n"/>
    </row>
    <row r="58">
      <c r="A58" s="133" t="n"/>
      <c r="D58" s="133" t="n"/>
      <c r="E58" s="133" t="n"/>
      <c r="F58" s="133" t="n"/>
      <c r="G58" s="133" t="n"/>
      <c r="H58" s="133" t="n"/>
      <c r="I58" s="133" t="n"/>
      <c r="J58" s="133" t="n"/>
      <c r="K58" s="133" t="n"/>
      <c r="L58" s="133" t="n"/>
      <c r="M58" s="133" t="n"/>
      <c r="N58" s="133" t="n"/>
      <c r="O58" s="133" t="n"/>
    </row>
    <row r="59">
      <c r="A59" s="133" t="n"/>
      <c r="B59" s="133" t="n"/>
      <c r="C59" s="133" t="n"/>
      <c r="D59" s="133" t="n"/>
      <c r="E59" s="133" t="n"/>
      <c r="F59" s="133" t="n"/>
      <c r="G59" s="133" t="n"/>
      <c r="H59" s="133" t="n"/>
      <c r="I59" s="133" t="n"/>
      <c r="J59" s="133" t="n"/>
      <c r="K59" s="133" t="n"/>
      <c r="L59" s="133" t="n"/>
      <c r="M59" s="133" t="n"/>
      <c r="N59" s="133" t="n"/>
      <c r="O59" s="133" t="n"/>
    </row>
    <row r="60">
      <c r="A60" s="30" t="n"/>
      <c r="B60" s="30" t="n"/>
      <c r="C60" s="30" t="n"/>
      <c r="D60" s="30" t="n"/>
      <c r="E60" s="30" t="n"/>
      <c r="F60" s="30" t="n"/>
      <c r="G60" s="30" t="n"/>
      <c r="H60" s="30" t="n"/>
      <c r="I60" s="30" t="n"/>
      <c r="J60" s="30" t="n"/>
      <c r="K60" s="30" t="n"/>
      <c r="L60" s="30" t="n"/>
      <c r="M60" s="30" t="n"/>
      <c r="N60" s="30" t="n"/>
      <c r="O60" s="30" t="n"/>
      <c r="P60" s="4" t="n"/>
      <c r="Q60" s="4" t="n"/>
      <c r="R60" s="4" t="n"/>
      <c r="S60" s="4" t="n"/>
      <c r="T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row>
  </sheetData>
  <mergeCells count="93">
    <mergeCell ref="A58:C58"/>
    <mergeCell ref="K1:N1"/>
    <mergeCell ref="A46:A50"/>
    <mergeCell ref="B46:C47"/>
    <mergeCell ref="D46:N47"/>
    <mergeCell ref="B48:C50"/>
    <mergeCell ref="D48:N50"/>
    <mergeCell ref="A52:A56"/>
    <mergeCell ref="B52:C53"/>
    <mergeCell ref="D52:N53"/>
    <mergeCell ref="B54:C56"/>
    <mergeCell ref="D54:N56"/>
    <mergeCell ref="A31:N37"/>
    <mergeCell ref="A40:A44"/>
    <mergeCell ref="B40:C41"/>
    <mergeCell ref="D40:N41"/>
    <mergeCell ref="B42:C44"/>
    <mergeCell ref="D42:N44"/>
    <mergeCell ref="A27:B27"/>
    <mergeCell ref="C27:D27"/>
    <mergeCell ref="K27:L27"/>
    <mergeCell ref="A28:B28"/>
    <mergeCell ref="C28:D28"/>
    <mergeCell ref="K28:L28"/>
    <mergeCell ref="A25:B25"/>
    <mergeCell ref="C25:D25"/>
    <mergeCell ref="K25:L25"/>
    <mergeCell ref="A26:B26"/>
    <mergeCell ref="C26:D26"/>
    <mergeCell ref="K26:L26"/>
    <mergeCell ref="A23:B23"/>
    <mergeCell ref="C23:D23"/>
    <mergeCell ref="K23:L23"/>
    <mergeCell ref="A24:B24"/>
    <mergeCell ref="C24:D24"/>
    <mergeCell ref="K24:L24"/>
    <mergeCell ref="M20:M21"/>
    <mergeCell ref="A21:B21"/>
    <mergeCell ref="C21:D21"/>
    <mergeCell ref="F21:H21"/>
    <mergeCell ref="A22:B22"/>
    <mergeCell ref="C22:D22"/>
    <mergeCell ref="K22:L22"/>
    <mergeCell ref="A18:D19"/>
    <mergeCell ref="F18:H18"/>
    <mergeCell ref="K18:L18"/>
    <mergeCell ref="F19:H19"/>
    <mergeCell ref="A20:B20"/>
    <mergeCell ref="C20:D20"/>
    <mergeCell ref="F20:H20"/>
    <mergeCell ref="K20:L21"/>
    <mergeCell ref="A16:C16"/>
    <mergeCell ref="F16:H16"/>
    <mergeCell ref="K16:L16"/>
    <mergeCell ref="A17:C17"/>
    <mergeCell ref="F17:H17"/>
    <mergeCell ref="K17:L17"/>
    <mergeCell ref="M12:M13"/>
    <mergeCell ref="F13:I14"/>
    <mergeCell ref="A14:C14"/>
    <mergeCell ref="K14:L14"/>
    <mergeCell ref="A15:C15"/>
    <mergeCell ref="F15:H15"/>
    <mergeCell ref="K15:L15"/>
    <mergeCell ref="K12:L13"/>
    <mergeCell ref="A11:B11"/>
    <mergeCell ref="C11:D11"/>
    <mergeCell ref="F11:G11"/>
    <mergeCell ref="H11:I11"/>
    <mergeCell ref="A12:D13"/>
    <mergeCell ref="A9:B9"/>
    <mergeCell ref="C9:D9"/>
    <mergeCell ref="F9:G9"/>
    <mergeCell ref="H9:I9"/>
    <mergeCell ref="A10:B10"/>
    <mergeCell ref="C10:D10"/>
    <mergeCell ref="F10:G10"/>
    <mergeCell ref="H10:I10"/>
    <mergeCell ref="B5:D5"/>
    <mergeCell ref="F5:G5"/>
    <mergeCell ref="H5:I5"/>
    <mergeCell ref="A7:I7"/>
    <mergeCell ref="A8:B8"/>
    <mergeCell ref="C8:D8"/>
    <mergeCell ref="F8:G8"/>
    <mergeCell ref="H8:I8"/>
    <mergeCell ref="A2:A3"/>
    <mergeCell ref="B2:D3"/>
    <mergeCell ref="F2:I3"/>
    <mergeCell ref="K2:N3"/>
    <mergeCell ref="B4:D4"/>
    <mergeCell ref="F4:G4"/>
    <mergeCell ref="H4:I4"/>
  </mergeCells>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Dawn Corley</dc:creator>
  <dcterms:created xmlns:dcterms="http://purl.org/dc/terms/" xmlns:xsi="http://www.w3.org/2001/XMLSchema-instance" xsi:type="dcterms:W3CDTF">2024-11-15T16:32:19Z</dcterms:created>
  <dcterms:modified xmlns:dcterms="http://purl.org/dc/terms/" xmlns:xsi="http://www.w3.org/2001/XMLSchema-instance" xsi:type="dcterms:W3CDTF">2026-04-14T00:08:33Z</dcterms:modified>
</cp:coreProperties>
</file>