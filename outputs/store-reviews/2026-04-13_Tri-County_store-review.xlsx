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70" yWindow="3615" windowWidth="21600" windowHeight="11235"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4">
    <numFmt numFmtId="164" formatCode="0.0%"/>
    <numFmt numFmtId="165" formatCode="&quot;$&quot;#,##0.00_);[Red]\(&quot;$&quot;#,##0.00\)"/>
    <numFmt numFmtId="166" formatCode="_(&quot;$&quot;* #,##0.00_);_(&quot;$&quot;* \(#,##0.00\);_(&quot;$&quot;* &quot;-&quot;??_);_(@_)"/>
    <numFmt numFmtId="167" formatCode="M/D/YYYY"/>
  </numFmts>
  <fonts count="22">
    <font>
      <name val="Aptos Narrow"/>
      <family val="2"/>
      <color theme="1"/>
      <sz val="11"/>
      <scheme val="minor"/>
    </font>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b val="1"/>
      <color theme="1"/>
      <sz val="20"/>
      <scheme val="minor"/>
    </font>
    <font>
      <name val="Aptos Narrow"/>
      <family val="2"/>
      <b val="1"/>
      <color theme="1"/>
      <sz val="16"/>
      <scheme val="minor"/>
    </font>
    <font>
      <name val="Aptos Narrow"/>
      <family val="2"/>
      <b val="1"/>
      <color theme="1"/>
      <sz val="14"/>
      <scheme val="minor"/>
    </font>
    <font>
      <name val="Aptos Narrow"/>
      <family val="2"/>
      <b val="1"/>
      <color theme="1"/>
      <sz val="9"/>
      <scheme val="minor"/>
    </font>
    <font>
      <name val="Aptos Narrow"/>
      <family val="2"/>
      <color theme="1"/>
      <sz val="9"/>
      <scheme val="minor"/>
    </font>
    <font>
      <name val="Aptos Narrow"/>
      <family val="2"/>
      <b val="1"/>
      <color rgb="FFFF0000"/>
      <sz val="11"/>
      <scheme val="minor"/>
    </font>
    <font>
      <name val="Aptos Narrow"/>
      <family val="2"/>
      <b val="1"/>
      <sz val="11"/>
      <scheme val="minor"/>
    </font>
    <font>
      <name val="Aptos Narrow"/>
      <family val="2"/>
      <b val="1"/>
      <color theme="1"/>
      <sz val="18"/>
      <scheme val="minor"/>
    </font>
    <font>
      <name val="Aptos Narrow"/>
      <family val="2"/>
      <b val="1"/>
      <color rgb="FFFF0000"/>
      <sz val="12"/>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b val="1"/>
      <color rgb="FF000000"/>
      <sz val="11"/>
      <scheme val="minor"/>
    </font>
    <font>
      <name val="Aptos Narrow"/>
      <family val="2"/>
      <b val="1"/>
      <color rgb="FFDB1DBF"/>
      <sz val="11"/>
      <scheme val="minor"/>
    </font>
    <font>
      <name val="Aptos Narrow"/>
      <family val="2"/>
      <color rgb="FF000000"/>
      <sz val="11"/>
      <scheme val="minor"/>
    </font>
    <font>
      <name val="Aptos Narrow"/>
      <family val="2"/>
      <b val="1"/>
      <color theme="1"/>
      <sz val="10"/>
      <scheme val="minor"/>
    </font>
    <font>
      <name val="Aptos Narrow"/>
      <family val="2"/>
      <sz val="11"/>
      <scheme val="minor"/>
    </font>
    <font>
      <name val="Aptos Narrow"/>
      <family val="2"/>
      <b val="1"/>
      <color theme="1"/>
      <sz val="8"/>
      <scheme val="minor"/>
    </font>
  </fonts>
  <fills count="7">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5">
    <xf numFmtId="0" fontId="1" fillId="0" borderId="0"/>
    <xf numFmtId="9" fontId="1" fillId="0" borderId="0"/>
    <xf numFmtId="0" fontId="13" fillId="3" borderId="0"/>
    <xf numFmtId="0" fontId="14" fillId="4" borderId="0"/>
    <xf numFmtId="0" fontId="15" fillId="5" borderId="0"/>
  </cellStyleXfs>
  <cellXfs count="186">
    <xf numFmtId="0" fontId="0" fillId="0" borderId="0" pivotButton="0" quotePrefix="0" xfId="0"/>
    <xf numFmtId="0" fontId="3" fillId="0" borderId="0" applyAlignment="1" pivotButton="0" quotePrefix="0" xfId="0">
      <alignment horizontal="center" vertical="center"/>
    </xf>
    <xf numFmtId="0" fontId="7" fillId="2" borderId="9" applyAlignment="1" pivotButton="0" quotePrefix="0" xfId="0">
      <alignment horizontal="center" vertical="center" wrapText="1"/>
    </xf>
    <xf numFmtId="9" fontId="3" fillId="2" borderId="12" applyAlignment="1" pivotButton="0" quotePrefix="0" xfId="1">
      <alignment horizontal="center" vertical="center"/>
    </xf>
    <xf numFmtId="0" fontId="3" fillId="0" borderId="0" applyAlignment="1" pivotButton="0" quotePrefix="0" xfId="0">
      <alignment horizontal="left" vertical="top"/>
    </xf>
    <xf numFmtId="0" fontId="4" fillId="2" borderId="0" applyAlignment="1" pivotButton="0" quotePrefix="0" xfId="0">
      <alignment horizontal="left" vertical="center"/>
    </xf>
    <xf numFmtId="0" fontId="3" fillId="2" borderId="0" applyAlignment="1" pivotButton="0" quotePrefix="0" xfId="0">
      <alignment horizontal="center" vertical="center"/>
    </xf>
    <xf numFmtId="0" fontId="3" fillId="2" borderId="0" applyAlignment="1" pivotButton="0" quotePrefix="0" xfId="0">
      <alignment horizontal="left" vertical="center"/>
    </xf>
    <xf numFmtId="0" fontId="0" fillId="2" borderId="4" applyAlignment="1" pivotButton="0" quotePrefix="0" xfId="0">
      <alignment horizontal="center" vertical="center"/>
    </xf>
    <xf numFmtId="0" fontId="0" fillId="2" borderId="0" applyAlignment="1" pivotButton="0" quotePrefix="0" xfId="0">
      <alignment horizontal="center" vertical="center"/>
    </xf>
    <xf numFmtId="0" fontId="0" fillId="2" borderId="8" applyAlignment="1" pivotButton="0" quotePrefix="0" xfId="0">
      <alignment horizontal="center" vertical="center"/>
    </xf>
    <xf numFmtId="0" fontId="7" fillId="2" borderId="0" applyAlignment="1" pivotButton="0" quotePrefix="0" xfId="0">
      <alignment horizontal="center" vertical="center"/>
    </xf>
    <xf numFmtId="0" fontId="7" fillId="2" borderId="9" applyAlignment="1" pivotButton="0" quotePrefix="0" xfId="0">
      <alignment horizontal="center" vertical="center"/>
    </xf>
    <xf numFmtId="9" fontId="7" fillId="2" borderId="9" applyAlignment="1" pivotButton="0" quotePrefix="0" xfId="1">
      <alignment horizontal="center" vertical="center"/>
    </xf>
    <xf numFmtId="2" fontId="3" fillId="2" borderId="0" applyAlignment="1" pivotButton="0" quotePrefix="0" xfId="0">
      <alignment horizontal="center" vertical="center"/>
    </xf>
    <xf numFmtId="0" fontId="7" fillId="2" borderId="12" applyAlignment="1" pivotButton="0" quotePrefix="0" xfId="0">
      <alignment horizontal="center" vertical="center"/>
    </xf>
    <xf numFmtId="9" fontId="7" fillId="2" borderId="9" applyAlignment="1" pivotButton="0" quotePrefix="0" xfId="1">
      <alignment horizontal="center" vertical="center" wrapText="1"/>
    </xf>
    <xf numFmtId="0" fontId="7" fillId="2" borderId="0" applyAlignment="1" pivotButton="0" quotePrefix="0" xfId="0">
      <alignment horizontal="center" vertical="center" wrapText="1"/>
    </xf>
    <xf numFmtId="14" fontId="7" fillId="2" borderId="0" applyAlignment="1" pivotButton="0" quotePrefix="0" xfId="0">
      <alignment horizontal="center" vertical="center"/>
    </xf>
    <xf numFmtId="0" fontId="8" fillId="2" borderId="0" applyAlignment="1" pivotButton="0" quotePrefix="0" xfId="0">
      <alignment horizontal="center" vertical="center"/>
    </xf>
    <xf numFmtId="0" fontId="7" fillId="2" borderId="1" applyAlignment="1" pivotButton="0" quotePrefix="0" xfId="0">
      <alignment horizontal="center" vertical="center"/>
    </xf>
    <xf numFmtId="0" fontId="3" fillId="2" borderId="9" applyAlignment="1" pivotButton="0" quotePrefix="0" xfId="0">
      <alignment horizontal="center" vertical="center"/>
    </xf>
    <xf numFmtId="164" fontId="3" fillId="2" borderId="9" applyAlignment="1" pivotButton="0" quotePrefix="0" xfId="1">
      <alignment horizontal="center" vertical="center"/>
    </xf>
    <xf numFmtId="9" fontId="10" fillId="2" borderId="9" applyAlignment="1" pivotButton="0" quotePrefix="0" xfId="1">
      <alignment horizontal="center" vertical="center"/>
    </xf>
    <xf numFmtId="164" fontId="3" fillId="2" borderId="0" applyAlignment="1" pivotButton="0" quotePrefix="0" xfId="1">
      <alignment horizontal="center" vertical="center"/>
    </xf>
    <xf numFmtId="164" fontId="3" fillId="2" borderId="4" applyAlignment="1" pivotButton="0" quotePrefix="0" xfId="1">
      <alignment horizontal="center" vertical="center"/>
    </xf>
    <xf numFmtId="0" fontId="0" fillId="2" borderId="0" pivotButton="0" quotePrefix="0" xfId="0"/>
    <xf numFmtId="0" fontId="8" fillId="2" borderId="9" applyAlignment="1" pivotButton="0" quotePrefix="0" xfId="0">
      <alignment horizontal="center" vertical="center"/>
    </xf>
    <xf numFmtId="0" fontId="8" fillId="2" borderId="4" applyAlignment="1" pivotButton="0" quotePrefix="0" xfId="0">
      <alignment horizontal="center" vertical="center"/>
    </xf>
    <xf numFmtId="0" fontId="0" fillId="2" borderId="0" applyAlignment="1" pivotButton="0" quotePrefix="0" xfId="0">
      <alignment horizontal="center"/>
    </xf>
    <xf numFmtId="0" fontId="3" fillId="2" borderId="0" applyAlignment="1" pivotButton="0" quotePrefix="0" xfId="0">
      <alignment horizontal="left" vertical="top"/>
    </xf>
    <xf numFmtId="0" fontId="17" fillId="2" borderId="0" applyAlignment="1" pivotButton="0" quotePrefix="0" xfId="0">
      <alignment horizontal="center" vertical="center"/>
    </xf>
    <xf numFmtId="0" fontId="6" fillId="2" borderId="0" applyAlignment="1" pivotButton="0" quotePrefix="0" xfId="0">
      <alignment horizontal="left" vertical="center"/>
    </xf>
    <xf numFmtId="0" fontId="19" fillId="2" borderId="0" applyAlignment="1" pivotButton="0" quotePrefix="0" xfId="0">
      <alignment horizontal="center" vertical="center"/>
    </xf>
    <xf numFmtId="0" fontId="0" fillId="2" borderId="9" applyAlignment="1" pivotButton="0" quotePrefix="0" xfId="3">
      <alignment horizontal="center" vertical="center"/>
    </xf>
    <xf numFmtId="9" fontId="14" fillId="4" borderId="9" applyAlignment="1" pivotButton="0" quotePrefix="0" xfId="3">
      <alignment horizontal="center" vertical="center"/>
    </xf>
    <xf numFmtId="0" fontId="21" fillId="6" borderId="9" applyAlignment="1" pivotButton="0" quotePrefix="0" xfId="0">
      <alignment horizontal="left" vertical="top" wrapText="1"/>
    </xf>
    <xf numFmtId="0" fontId="3" fillId="6" borderId="9" applyAlignment="1" pivotButton="0" quotePrefix="0" xfId="0">
      <alignment horizontal="center" vertical="center"/>
    </xf>
    <xf numFmtId="0" fontId="3" fillId="6" borderId="1" applyAlignment="1" pivotButton="0" quotePrefix="0" xfId="0">
      <alignment horizontal="center" vertical="center"/>
    </xf>
    <xf numFmtId="9" fontId="14" fillId="4" borderId="9" applyAlignment="1" pivotButton="0" quotePrefix="0" xfId="3">
      <alignment horizontal="center" vertical="center" wrapText="1"/>
    </xf>
    <xf numFmtId="0" fontId="0" fillId="6" borderId="9" applyAlignment="1" pivotButton="0" quotePrefix="0" xfId="0">
      <alignment horizontal="center" vertical="center"/>
    </xf>
    <xf numFmtId="0" fontId="7" fillId="6" borderId="9" applyAlignment="1" pivotButton="0" quotePrefix="0" xfId="0">
      <alignment horizontal="center" vertical="center"/>
    </xf>
    <xf numFmtId="0" fontId="8" fillId="6" borderId="12" applyAlignment="1" pivotButton="0" quotePrefix="0" xfId="0">
      <alignment horizontal="center" vertical="center"/>
    </xf>
    <xf numFmtId="0" fontId="7" fillId="6" borderId="12" applyAlignment="1" pivotButton="0" quotePrefix="0" xfId="0">
      <alignment horizontal="center" vertical="center"/>
    </xf>
    <xf numFmtId="0" fontId="5" fillId="2" borderId="1" applyAlignment="1" pivotButton="0" quotePrefix="0" xfId="0">
      <alignment horizontal="center" vertical="center"/>
    </xf>
    <xf numFmtId="0" fontId="5" fillId="2" borderId="5" applyAlignment="1" pivotButton="0" quotePrefix="0" xfId="0">
      <alignment horizontal="center" vertical="center"/>
    </xf>
    <xf numFmtId="0" fontId="6"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3" fillId="2" borderId="6" applyAlignment="1" pivotButton="0" quotePrefix="0" xfId="0">
      <alignment horizontal="center" vertical="center"/>
    </xf>
    <xf numFmtId="0" fontId="3" fillId="2" borderId="7" applyAlignment="1" pivotButton="0" quotePrefix="0" xfId="0">
      <alignment horizontal="center" vertical="center"/>
    </xf>
    <xf numFmtId="0" fontId="3" fillId="2" borderId="8" applyAlignment="1" pivotButton="0" quotePrefix="0" xfId="0">
      <alignment horizontal="center" vertical="center"/>
    </xf>
    <xf numFmtId="0" fontId="3" fillId="2" borderId="2" applyAlignment="1" pivotButton="0" quotePrefix="0" xfId="0">
      <alignment horizontal="center" vertical="center"/>
    </xf>
    <xf numFmtId="0" fontId="0" fillId="2" borderId="4" applyAlignment="1" pivotButton="0" quotePrefix="0" xfId="0">
      <alignment horizontal="center" vertical="center"/>
    </xf>
    <xf numFmtId="0" fontId="0" fillId="2" borderId="8" applyAlignment="1" pivotButton="0" quotePrefix="0" xfId="0">
      <alignment horizontal="center" vertical="center"/>
    </xf>
    <xf numFmtId="0" fontId="3" fillId="2" borderId="2" applyAlignment="1" pivotButton="0" quotePrefix="0" xfId="0">
      <alignment horizontal="center" vertical="center" wrapText="1"/>
    </xf>
    <xf numFmtId="0" fontId="0" fillId="2" borderId="3" applyAlignment="1" pivotButton="0" quotePrefix="0" xfId="0">
      <alignment horizontal="center" vertical="center" wrapText="1"/>
    </xf>
    <xf numFmtId="0" fontId="0" fillId="2" borderId="4"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7" applyAlignment="1" pivotButton="0" quotePrefix="0" xfId="0">
      <alignment horizontal="center" vertical="center" wrapText="1"/>
    </xf>
    <xf numFmtId="0" fontId="0" fillId="2" borderId="8" applyAlignment="1" pivotButton="0" quotePrefix="0" xfId="0">
      <alignment horizontal="center" vertical="center" wrapText="1"/>
    </xf>
    <xf numFmtId="14" fontId="9" fillId="2" borderId="10" applyAlignment="1" pivotButton="0" quotePrefix="0" xfId="0">
      <alignment horizontal="center" vertical="center"/>
    </xf>
    <xf numFmtId="14" fontId="9" fillId="2" borderId="11" applyAlignment="1" pivotButton="0" quotePrefix="0" xfId="0">
      <alignment horizontal="center" vertical="center"/>
    </xf>
    <xf numFmtId="14" fontId="9" fillId="2" borderId="12" applyAlignment="1" pivotButton="0" quotePrefix="0" xfId="0">
      <alignment horizontal="center" vertical="center"/>
    </xf>
    <xf numFmtId="0" fontId="7" fillId="2" borderId="6" applyAlignment="1" pivotButton="0" quotePrefix="0" xfId="0">
      <alignment horizontal="center" vertical="center"/>
    </xf>
    <xf numFmtId="0" fontId="7" fillId="2" borderId="8" applyAlignment="1" pivotButton="0" quotePrefix="0" xfId="0">
      <alignment horizontal="center" vertical="center"/>
    </xf>
    <xf numFmtId="0" fontId="3" fillId="2" borderId="10" applyAlignment="1" pivotButton="0" quotePrefix="0" xfId="0">
      <alignment horizontal="center" vertical="center"/>
    </xf>
    <xf numFmtId="0" fontId="0" fillId="2" borderId="12" applyAlignment="1" pivotButton="0" quotePrefix="0" xfId="0">
      <alignment horizontal="center" vertical="center"/>
    </xf>
    <xf numFmtId="14" fontId="7" fillId="2" borderId="10" applyAlignment="1" pivotButton="0" quotePrefix="0" xfId="0">
      <alignment horizontal="center" vertical="center"/>
    </xf>
    <xf numFmtId="0" fontId="8" fillId="2" borderId="11" applyAlignment="1" pivotButton="0" quotePrefix="0" xfId="0">
      <alignment horizontal="center" vertical="center"/>
    </xf>
    <xf numFmtId="0" fontId="8" fillId="2" borderId="12" applyAlignment="1" pivotButton="0" quotePrefix="0" xfId="0">
      <alignment horizontal="center" vertical="center"/>
    </xf>
    <xf numFmtId="0" fontId="7" fillId="2" borderId="10" applyAlignment="1" pivotButton="0" quotePrefix="0" xfId="0">
      <alignment horizontal="center" vertical="center"/>
    </xf>
    <xf numFmtId="0" fontId="7" fillId="2" borderId="12" applyAlignment="1" pivotButton="0" quotePrefix="0" xfId="0">
      <alignment horizontal="center" vertical="center"/>
    </xf>
    <xf numFmtId="0" fontId="16" fillId="2" borderId="2" applyAlignment="1" pivotButton="0" quotePrefix="0" xfId="0">
      <alignment horizontal="center" vertical="center" wrapText="1"/>
    </xf>
    <xf numFmtId="0" fontId="0" fillId="2" borderId="11" applyAlignment="1" pivotButton="0" quotePrefix="0" xfId="0">
      <alignment horizontal="center" vertical="center" wrapText="1"/>
    </xf>
    <xf numFmtId="0" fontId="7" fillId="2" borderId="10" applyAlignment="1" pivotButton="0" quotePrefix="0" xfId="0">
      <alignment horizontal="center" vertical="center" wrapText="1"/>
    </xf>
    <xf numFmtId="0" fontId="8" fillId="2" borderId="12" applyAlignment="1" pivotButton="0" quotePrefix="0" xfId="0">
      <alignment horizontal="center" vertical="center" wrapText="1"/>
    </xf>
    <xf numFmtId="9" fontId="13" fillId="3" borderId="10" applyAlignment="1" pivotButton="0" quotePrefix="0" xfId="2">
      <alignment horizontal="center" vertical="center" wrapText="1"/>
    </xf>
    <xf numFmtId="9" fontId="13" fillId="3" borderId="12" applyAlignment="1" pivotButton="0" quotePrefix="0" xfId="2">
      <alignment horizontal="center" vertical="center" wrapText="1"/>
    </xf>
    <xf numFmtId="0" fontId="0" fillId="2" borderId="12" applyAlignment="1" pivotButton="0" quotePrefix="0" xfId="0">
      <alignment horizontal="center" vertical="center" wrapText="1"/>
    </xf>
    <xf numFmtId="165" fontId="13" fillId="3" borderId="10" applyAlignment="1" pivotButton="0" quotePrefix="0" xfId="2">
      <alignment horizontal="center" vertical="center" wrapText="1"/>
    </xf>
    <xf numFmtId="166" fontId="13" fillId="3" borderId="12" applyAlignment="1" pivotButton="0" quotePrefix="0" xfId="2">
      <alignment horizontal="center" vertical="center" wrapText="1"/>
    </xf>
    <xf numFmtId="10" fontId="0" fillId="2" borderId="10" applyAlignment="1" pivotButton="0" quotePrefix="0" xfId="3">
      <alignment horizontal="center" vertical="center" wrapText="1"/>
    </xf>
    <xf numFmtId="10" fontId="0" fillId="2" borderId="12" applyAlignment="1" pivotButton="0" quotePrefix="0" xfId="3">
      <alignment horizontal="center" vertical="center" wrapText="1"/>
    </xf>
    <xf numFmtId="9" fontId="18" fillId="2" borderId="10" applyAlignment="1" pivotButton="0" quotePrefix="0" xfId="3">
      <alignment horizontal="center" vertical="center"/>
    </xf>
    <xf numFmtId="9" fontId="18" fillId="2" borderId="12" applyAlignment="1" pivotButton="0" quotePrefix="0" xfId="3">
      <alignment horizontal="center" vertical="center"/>
    </xf>
    <xf numFmtId="9" fontId="0" fillId="2" borderId="10" applyAlignment="1" pivotButton="0" quotePrefix="0" xfId="3">
      <alignment horizontal="center" vertical="center" wrapText="1"/>
    </xf>
    <xf numFmtId="9" fontId="0" fillId="2" borderId="12" applyAlignment="1" pivotButton="0" quotePrefix="0" xfId="3">
      <alignment horizontal="center" vertical="center" wrapText="1"/>
    </xf>
    <xf numFmtId="9" fontId="16" fillId="2" borderId="10" applyAlignment="1" pivotButton="0" quotePrefix="0" xfId="4">
      <alignment horizontal="center" vertical="center"/>
    </xf>
    <xf numFmtId="9" fontId="16" fillId="2" borderId="12" applyAlignment="1" pivotButton="0" quotePrefix="0" xfId="4">
      <alignment horizontal="center" vertical="center"/>
    </xf>
    <xf numFmtId="0" fontId="9" fillId="2" borderId="10" applyAlignment="1" pivotButton="0" quotePrefix="0" xfId="0">
      <alignment horizontal="center" vertical="center" wrapText="1"/>
    </xf>
    <xf numFmtId="0" fontId="2" fillId="2" borderId="12" applyAlignment="1" pivotButton="0" quotePrefix="0" xfId="0">
      <alignment horizontal="center" vertical="center" wrapText="1"/>
    </xf>
    <xf numFmtId="0" fontId="0" fillId="2" borderId="3" applyAlignment="1" pivotButton="0" quotePrefix="0" xfId="0">
      <alignment horizontal="center" wrapText="1"/>
    </xf>
    <xf numFmtId="0" fontId="0" fillId="2" borderId="4" applyAlignment="1" pivotButton="0" quotePrefix="0" xfId="0">
      <alignment horizontal="center" wrapText="1"/>
    </xf>
    <xf numFmtId="0" fontId="0" fillId="2" borderId="13" applyAlignment="1" pivotButton="0" quotePrefix="0" xfId="0">
      <alignment horizontal="center" wrapText="1"/>
    </xf>
    <xf numFmtId="0" fontId="0" fillId="2" borderId="0" applyAlignment="1" pivotButton="0" quotePrefix="0" xfId="0">
      <alignment horizontal="center" wrapText="1"/>
    </xf>
    <xf numFmtId="0" fontId="0" fillId="2" borderId="14" applyAlignment="1" pivotButton="0" quotePrefix="0" xfId="0">
      <alignment horizontal="center" wrapText="1"/>
    </xf>
    <xf numFmtId="0" fontId="9" fillId="2" borderId="3" applyAlignment="1" pivotButton="0" quotePrefix="0" xfId="0">
      <alignment horizontal="center" vertical="center" wrapText="1"/>
    </xf>
    <xf numFmtId="0" fontId="9" fillId="2" borderId="7" applyAlignment="1" pivotButton="0" quotePrefix="0" xfId="0">
      <alignment horizontal="center" vertical="center" wrapText="1"/>
    </xf>
    <xf numFmtId="0" fontId="0" fillId="2" borderId="11" applyAlignment="1" pivotButton="0" quotePrefix="0" xfId="0">
      <alignment horizontal="center" vertical="center"/>
    </xf>
    <xf numFmtId="0" fontId="0" fillId="2" borderId="3" applyAlignment="1" pivotButton="0" quotePrefix="0" xfId="0">
      <alignment horizontal="center" vertical="center"/>
    </xf>
    <xf numFmtId="0" fontId="0" fillId="2" borderId="6" applyAlignment="1" pivotButton="0" quotePrefix="0" xfId="0">
      <alignment horizontal="center" vertical="center"/>
    </xf>
    <xf numFmtId="0" fontId="0" fillId="2" borderId="7" applyAlignment="1" pivotButton="0" quotePrefix="0" xfId="0">
      <alignment horizontal="center" vertical="center"/>
    </xf>
    <xf numFmtId="0" fontId="0" fillId="2" borderId="3" applyAlignment="1" pivotButton="0" quotePrefix="0" xfId="0">
      <alignment wrapText="1"/>
    </xf>
    <xf numFmtId="0" fontId="0" fillId="2" borderId="4" applyAlignment="1" pivotButton="0" quotePrefix="0" xfId="0">
      <alignment wrapText="1"/>
    </xf>
    <xf numFmtId="0" fontId="0" fillId="2" borderId="6" applyAlignment="1" pivotButton="0" quotePrefix="0" xfId="0">
      <alignment wrapText="1"/>
    </xf>
    <xf numFmtId="0" fontId="0" fillId="2" borderId="7" applyAlignment="1" pivotButton="0" quotePrefix="0" xfId="0">
      <alignment wrapText="1"/>
    </xf>
    <xf numFmtId="0" fontId="0" fillId="2" borderId="8" applyAlignment="1" pivotButton="0" quotePrefix="0" xfId="0">
      <alignment wrapText="1"/>
    </xf>
    <xf numFmtId="0" fontId="3" fillId="2" borderId="10" applyAlignment="1" pivotButton="0" quotePrefix="0" xfId="0">
      <alignment horizontal="center" vertical="top"/>
    </xf>
    <xf numFmtId="0" fontId="0" fillId="2" borderId="12" applyAlignment="1" pivotButton="0" quotePrefix="0" xfId="0">
      <alignment horizontal="center" vertical="top"/>
    </xf>
    <xf numFmtId="0" fontId="3" fillId="6" borderId="10" applyAlignment="1" pivotButton="0" quotePrefix="0" xfId="0">
      <alignment horizontal="center" vertical="top"/>
    </xf>
    <xf numFmtId="0" fontId="0" fillId="6" borderId="12" applyAlignment="1" pivotButton="0" quotePrefix="0" xfId="0">
      <alignment horizontal="center" vertical="top"/>
    </xf>
    <xf numFmtId="0" fontId="7" fillId="2" borderId="11" applyAlignment="1" pivotButton="0" quotePrefix="0" xfId="0">
      <alignment horizontal="center" vertical="center"/>
    </xf>
    <xf numFmtId="0" fontId="3" fillId="2" borderId="3" applyAlignment="1" pivotButton="0" quotePrefix="0" xfId="0">
      <alignment horizontal="center" vertical="center" wrapText="1"/>
    </xf>
    <xf numFmtId="0" fontId="3" fillId="2" borderId="6" applyAlignment="1" pivotButton="0" quotePrefix="0" xfId="0">
      <alignment horizontal="center" vertical="center" wrapText="1"/>
    </xf>
    <xf numFmtId="0" fontId="3" fillId="2" borderId="7" applyAlignment="1" pivotButton="0" quotePrefix="0" xfId="0">
      <alignment horizontal="center" vertical="center" wrapText="1"/>
    </xf>
    <xf numFmtId="0" fontId="7" fillId="2" borderId="2" applyAlignment="1" pivotButton="0" quotePrefix="0" xfId="0">
      <alignment horizontal="center" vertical="center"/>
    </xf>
    <xf numFmtId="0" fontId="7" fillId="2" borderId="3" applyAlignment="1" pivotButton="0" quotePrefix="0" xfId="0">
      <alignment horizontal="center" vertical="center"/>
    </xf>
    <xf numFmtId="0" fontId="3" fillId="6" borderId="2" applyAlignment="1" pivotButton="0" quotePrefix="0" xfId="0">
      <alignment horizontal="center" vertical="center"/>
    </xf>
    <xf numFmtId="0" fontId="0" fillId="6" borderId="4" applyAlignment="1" pivotButton="0" quotePrefix="0" xfId="0">
      <alignment horizontal="center" vertical="center"/>
    </xf>
    <xf numFmtId="0" fontId="3" fillId="6" borderId="10" applyAlignment="1" pivotButton="0" quotePrefix="0" xfId="0">
      <alignment horizontal="center" vertical="center"/>
    </xf>
    <xf numFmtId="0" fontId="0" fillId="6" borderId="12" applyAlignment="1" pivotButton="0" quotePrefix="0" xfId="0">
      <alignment horizontal="center" vertical="center"/>
    </xf>
    <xf numFmtId="0" fontId="3" fillId="2" borderId="13"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2" applyAlignment="1" pivotButton="0" quotePrefix="0" xfId="0">
      <alignment horizontal="left" vertical="top" wrapText="1"/>
    </xf>
    <xf numFmtId="0" fontId="0" fillId="2" borderId="3" applyAlignment="1" pivotButton="0" quotePrefix="0" xfId="0">
      <alignment horizontal="left" vertical="top" wrapText="1"/>
    </xf>
    <xf numFmtId="0" fontId="0" fillId="2" borderId="4" applyAlignment="1" pivotButton="0" quotePrefix="0" xfId="0">
      <alignment horizontal="left" vertical="top" wrapText="1"/>
    </xf>
    <xf numFmtId="0" fontId="0" fillId="2" borderId="13" applyAlignment="1" pivotButton="0" quotePrefix="0" xfId="0">
      <alignment horizontal="left" vertical="top" wrapText="1"/>
    </xf>
    <xf numFmtId="0" fontId="0" fillId="2" borderId="0" applyAlignment="1" pivotButton="0" quotePrefix="0" xfId="0">
      <alignment horizontal="left" vertical="top" wrapText="1"/>
    </xf>
    <xf numFmtId="0" fontId="0" fillId="2" borderId="14" applyAlignment="1" pivotButton="0" quotePrefix="0" xfId="0">
      <alignment horizontal="left" vertical="top" wrapText="1"/>
    </xf>
    <xf numFmtId="0" fontId="0" fillId="2" borderId="6" applyAlignment="1" pivotButton="0" quotePrefix="0" xfId="0">
      <alignment horizontal="left" vertical="top" wrapText="1"/>
    </xf>
    <xf numFmtId="0" fontId="0" fillId="2" borderId="7" applyAlignment="1" pivotButton="0" quotePrefix="0" xfId="0">
      <alignment horizontal="left" vertical="top" wrapText="1"/>
    </xf>
    <xf numFmtId="0" fontId="0" fillId="2" borderId="8" applyAlignment="1" pivotButton="0" quotePrefix="0" xfId="0">
      <alignment horizontal="left" vertical="top" wrapText="1"/>
    </xf>
    <xf numFmtId="0" fontId="3" fillId="2" borderId="0" applyAlignment="1" pivotButton="0" quotePrefix="0" xfId="0">
      <alignment horizontal="center" vertical="center"/>
    </xf>
    <xf numFmtId="0" fontId="3" fillId="2" borderId="10" applyAlignment="1" pivotButton="0" quotePrefix="0" xfId="0">
      <alignment horizontal="left" vertical="center"/>
    </xf>
    <xf numFmtId="0" fontId="3" fillId="2" borderId="11" applyAlignment="1" pivotButton="0" quotePrefix="0" xfId="0">
      <alignment horizontal="left" vertical="center"/>
    </xf>
    <xf numFmtId="0" fontId="3" fillId="2" borderId="12" applyAlignment="1" pivotButton="0" quotePrefix="0" xfId="0">
      <alignment horizontal="left" vertical="center"/>
    </xf>
    <xf numFmtId="0" fontId="11" fillId="2" borderId="1" applyAlignment="1" pivotButton="0" quotePrefix="0" xfId="0">
      <alignment horizontal="center" vertical="center"/>
    </xf>
    <xf numFmtId="0" fontId="11" fillId="2" borderId="15" applyAlignment="1" pivotButton="0" quotePrefix="0" xfId="0">
      <alignment horizontal="center" vertical="center"/>
    </xf>
    <xf numFmtId="0" fontId="11" fillId="2" borderId="5" applyAlignment="1" pivotButton="0" quotePrefix="0" xfId="0">
      <alignment horizontal="center" vertical="center"/>
    </xf>
    <xf numFmtId="0" fontId="12" fillId="2" borderId="2" applyAlignment="1" pivotButton="0" quotePrefix="0" xfId="0">
      <alignment horizontal="left" vertical="top" wrapText="1"/>
    </xf>
    <xf numFmtId="0" fontId="10" fillId="2" borderId="2" applyAlignment="1" pivotButton="0" quotePrefix="0" xfId="0">
      <alignment horizontal="left" vertical="top" wrapText="1"/>
    </xf>
    <xf numFmtId="0" fontId="20" fillId="2" borderId="3" applyAlignment="1" pivotButton="0" quotePrefix="0" xfId="0">
      <alignment horizontal="left" vertical="top" wrapText="1"/>
    </xf>
    <xf numFmtId="0" fontId="20" fillId="2" borderId="4" applyAlignment="1" pivotButton="0" quotePrefix="0" xfId="0">
      <alignment horizontal="left" vertical="top" wrapText="1"/>
    </xf>
    <xf numFmtId="0" fontId="20" fillId="2" borderId="13" applyAlignment="1" pivotButton="0" quotePrefix="0" xfId="0">
      <alignment horizontal="left" vertical="top" wrapText="1"/>
    </xf>
    <xf numFmtId="0" fontId="20" fillId="2" borderId="0" applyAlignment="1" pivotButton="0" quotePrefix="0" xfId="0">
      <alignment horizontal="left" vertical="top" wrapText="1"/>
    </xf>
    <xf numFmtId="0" fontId="20" fillId="2" borderId="14" applyAlignment="1" pivotButton="0" quotePrefix="0" xfId="0">
      <alignment horizontal="left" vertical="top" wrapText="1"/>
    </xf>
    <xf numFmtId="0" fontId="20" fillId="2" borderId="6" applyAlignment="1" pivotButton="0" quotePrefix="0" xfId="0">
      <alignment horizontal="left" vertical="top" wrapText="1"/>
    </xf>
    <xf numFmtId="0" fontId="20" fillId="2" borderId="7" applyAlignment="1" pivotButton="0" quotePrefix="0" xfId="0">
      <alignment horizontal="left" vertical="top" wrapText="1"/>
    </xf>
    <xf numFmtId="0" fontId="20" fillId="2" borderId="8" applyAlignment="1" pivotButton="0" quotePrefix="0" xfId="0">
      <alignment horizontal="left" vertical="top" wrapText="1"/>
    </xf>
    <xf numFmtId="0" fontId="3" fillId="2" borderId="9" applyAlignment="1" pivotButton="0" quotePrefix="0" xfId="0">
      <alignment horizontal="left" vertical="center"/>
    </xf>
    <xf numFmtId="0" fontId="0" fillId="0" borderId="11" pivotButton="0" quotePrefix="0" xfId="0"/>
    <xf numFmtId="0" fontId="0" fillId="0" borderId="12" pivotButton="0" quotePrefix="0" xfId="0"/>
    <xf numFmtId="0" fontId="5" fillId="2" borderId="9" applyAlignment="1" pivotButton="0" quotePrefix="0" xfId="0">
      <alignment horizontal="center" vertical="center"/>
    </xf>
    <xf numFmtId="0" fontId="6" fillId="2" borderId="9" applyAlignment="1" pivotButton="0" quotePrefix="0" xfId="0">
      <alignment horizontal="center" vertical="center"/>
    </xf>
    <xf numFmtId="0" fontId="0" fillId="0" borderId="3" pivotButton="0" quotePrefix="0" xfId="0"/>
    <xf numFmtId="0" fontId="0" fillId="0" borderId="4" pivotButton="0" quotePrefix="0" xfId="0"/>
    <xf numFmtId="0" fontId="3" fillId="2" borderId="9"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167" fontId="9" fillId="2" borderId="9" applyAlignment="1" pivotButton="0" quotePrefix="0" xfId="0">
      <alignment horizontal="center" vertical="center"/>
    </xf>
    <xf numFmtId="0" fontId="7" fillId="2" borderId="5" applyAlignment="1" pivotButton="0" quotePrefix="0" xfId="0">
      <alignment horizontal="center" vertical="center"/>
    </xf>
    <xf numFmtId="167" fontId="7" fillId="2" borderId="9" applyAlignment="1" pivotButton="0" quotePrefix="0" xfId="0">
      <alignment horizontal="center" vertical="center"/>
    </xf>
    <xf numFmtId="0" fontId="16" fillId="2" borderId="1" applyAlignment="1" pivotButton="0" quotePrefix="0" xfId="0">
      <alignment horizontal="center" vertical="center" wrapText="1"/>
    </xf>
    <xf numFmtId="9" fontId="13" fillId="3" borderId="9" applyAlignment="1" pivotButton="0" quotePrefix="0" xfId="2">
      <alignment horizontal="center" vertical="center" wrapText="1"/>
    </xf>
    <xf numFmtId="165" fontId="13" fillId="3" borderId="9" applyAlignment="1" pivotButton="0" quotePrefix="0" xfId="2">
      <alignment horizontal="center" vertical="center" wrapText="1"/>
    </xf>
    <xf numFmtId="10" fontId="0" fillId="2" borderId="9" applyAlignment="1" pivotButton="0" quotePrefix="0" xfId="3">
      <alignment horizontal="center" vertical="center" wrapText="1"/>
    </xf>
    <xf numFmtId="9" fontId="18" fillId="2" borderId="9" applyAlignment="1" pivotButton="0" quotePrefix="0" xfId="3">
      <alignment horizontal="center" vertical="center"/>
    </xf>
    <xf numFmtId="9" fontId="0" fillId="2" borderId="9" applyAlignment="1" pivotButton="0" quotePrefix="0" xfId="3">
      <alignment horizontal="center" vertical="center" wrapText="1"/>
    </xf>
    <xf numFmtId="9" fontId="16" fillId="2" borderId="9" applyAlignment="1" pivotButton="0" quotePrefix="0" xfId="4">
      <alignment horizontal="center" vertical="center"/>
    </xf>
    <xf numFmtId="0" fontId="9" fillId="2" borderId="9" applyAlignment="1" pivotButton="0" quotePrefix="0" xfId="0">
      <alignment horizontal="center" vertical="center" wrapText="1"/>
    </xf>
    <xf numFmtId="0" fontId="3" fillId="2" borderId="1" applyAlignment="1" pivotButton="0" quotePrefix="0" xfId="0">
      <alignment horizontal="center" vertical="center" wrapText="1"/>
    </xf>
    <xf numFmtId="0" fontId="9" fillId="2" borderId="11" applyAlignment="1" pivotButton="0" quotePrefix="0" xfId="0">
      <alignment horizontal="center" vertical="center" wrapText="1"/>
    </xf>
    <xf numFmtId="0" fontId="0" fillId="0" borderId="13" pivotButton="0" quotePrefix="0" xfId="0"/>
    <xf numFmtId="0" fontId="0" fillId="0" borderId="14" pivotButton="0" quotePrefix="0" xfId="0"/>
    <xf numFmtId="0" fontId="3" fillId="2" borderId="9" applyAlignment="1" pivotButton="0" quotePrefix="0" xfId="0">
      <alignment horizontal="center" vertical="top"/>
    </xf>
    <xf numFmtId="0" fontId="3" fillId="6" borderId="9" applyAlignment="1" pivotButton="0" quotePrefix="0" xfId="0">
      <alignment horizontal="center" vertical="top"/>
    </xf>
    <xf numFmtId="0" fontId="3" fillId="2" borderId="10" applyAlignment="1" pivotButton="0" quotePrefix="0" xfId="0">
      <alignment horizontal="center" vertical="center" wrapText="1"/>
    </xf>
    <xf numFmtId="0" fontId="3" fillId="2" borderId="1" applyAlignment="1" pivotButton="0" quotePrefix="0" xfId="0">
      <alignment horizontal="center" vertical="center"/>
    </xf>
    <xf numFmtId="0" fontId="10" fillId="2" borderId="9" applyAlignment="1" pivotButton="0" quotePrefix="0" xfId="0">
      <alignment horizontal="left" vertical="top" wrapText="1"/>
    </xf>
    <xf numFmtId="0" fontId="11" fillId="2" borderId="9" applyAlignment="1" pivotButton="0" quotePrefix="0" xfId="0">
      <alignment horizontal="center" vertical="center"/>
    </xf>
    <xf numFmtId="0" fontId="12" fillId="2" borderId="9" applyAlignment="1" pivotButton="0" quotePrefix="0" xfId="0">
      <alignment horizontal="left" vertical="top" wrapText="1"/>
    </xf>
    <xf numFmtId="0" fontId="0" fillId="0" borderId="15" pivotButton="0" quotePrefix="0" xfId="0"/>
    <xf numFmtId="0" fontId="3" fillId="2" borderId="9" applyAlignment="1" pivotButton="0" quotePrefix="0" xfId="0">
      <alignment horizontal="left" vertical="top" wrapText="1"/>
    </xf>
  </cellXfs>
  <cellStyles count="5">
    <cellStyle name="Normal" xfId="0" builtinId="0"/>
    <cellStyle name="Percent" xfId="1" builtinId="5"/>
    <cellStyle name="Good" xfId="2" builtinId="26"/>
    <cellStyle name="Bad" xfId="3" builtinId="27"/>
    <cellStyle name="Neutral" xfId="4" builtinId="2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68"/>
  <sheetViews>
    <sheetView tabSelected="1" topLeftCell="A45" workbookViewId="0">
      <selection activeCell="O53" sqref="O53"/>
    </sheetView>
  </sheetViews>
  <sheetFormatPr baseColWidth="8" defaultColWidth="9.140625" defaultRowHeight="15"/>
  <cols>
    <col width="12" customWidth="1" style="1" min="1" max="1"/>
    <col width="9.140625" customWidth="1" style="1" min="2" max="3"/>
    <col width="20" customWidth="1" style="1" min="4" max="4"/>
    <col width="4.7109375" customWidth="1" style="1" min="5" max="5"/>
    <col width="10.28515625" customWidth="1" style="1" min="6" max="6"/>
    <col width="10" customWidth="1" style="1" min="7" max="7"/>
    <col width="9.140625" customWidth="1" style="1" min="8" max="8"/>
    <col width="9.85546875" customWidth="1" style="1" min="9" max="9"/>
    <col width="4.7109375" customWidth="1" style="1" min="10" max="10"/>
    <col width="23" customWidth="1" style="1" min="11" max="11"/>
    <col width="18.85546875" customWidth="1" style="1" min="12" max="12"/>
    <col width="25.140625" customWidth="1" style="1" min="13" max="13"/>
    <col width="18.28515625" customWidth="1" style="1" min="14" max="14"/>
    <col width="17.140625" customWidth="1" style="1" min="15" max="15"/>
    <col width="9.140625" customWidth="1" style="1" min="16" max="16"/>
    <col width="9.5703125" customWidth="1" style="1" min="17" max="17"/>
    <col width="10" customWidth="1" style="1" min="18" max="18"/>
    <col width="10.28515625" customWidth="1" style="1" min="19" max="19"/>
    <col width="12" customWidth="1" style="1" min="20" max="20"/>
    <col width="9.140625" customWidth="1" style="1" min="21" max="16384"/>
  </cols>
  <sheetData>
    <row r="1" ht="28.5" customHeight="1" thickBot="1">
      <c r="A1" s="5" t="inlineStr">
        <is>
          <t>STORE REVIEW</t>
        </is>
      </c>
      <c r="B1" s="133" t="n"/>
      <c r="C1" s="133" t="n"/>
      <c r="D1" s="133" t="n"/>
      <c r="E1" s="133" t="inlineStr">
        <is>
          <t xml:space="preserve"> </t>
        </is>
      </c>
      <c r="F1" s="7" t="inlineStr">
        <is>
          <t xml:space="preserve"> </t>
        </is>
      </c>
      <c r="G1" s="133" t="inlineStr">
        <is>
          <t xml:space="preserve"> </t>
        </is>
      </c>
      <c r="H1" s="133" t="n"/>
      <c r="I1" s="133" t="n"/>
      <c r="J1" s="133" t="n"/>
      <c r="K1" s="150" t="inlineStr">
        <is>
          <t>Evaluation Completed by: Jason Cole</t>
        </is>
      </c>
      <c r="L1" s="151" t="n"/>
      <c r="M1" s="151" t="n"/>
      <c r="N1" s="152" t="n"/>
      <c r="O1" s="133" t="n"/>
    </row>
    <row r="2" ht="21.75" customHeight="1">
      <c r="A2" s="153" t="inlineStr">
        <is>
          <t xml:space="preserve">Store </t>
        </is>
      </c>
      <c r="B2" s="154" t="inlineStr">
        <is>
          <t>Tri-County</t>
        </is>
      </c>
      <c r="C2" s="155" t="n"/>
      <c r="D2" s="156" t="n"/>
      <c r="E2" s="133" t="n"/>
      <c r="F2" s="21" t="inlineStr">
        <is>
          <t>Training</t>
        </is>
      </c>
      <c r="G2" s="155" t="n"/>
      <c r="H2" s="155" t="n"/>
      <c r="I2" s="156" t="n"/>
      <c r="J2" s="133" t="n"/>
      <c r="K2" s="157" t="n">
        <v>0</v>
      </c>
      <c r="L2" s="155" t="n"/>
      <c r="M2" s="155" t="n"/>
      <c r="N2" s="156" t="n"/>
      <c r="O2" s="9" t="n"/>
    </row>
    <row r="3" ht="23.25" customHeight="1" thickBot="1">
      <c r="A3" s="158" t="n"/>
      <c r="B3" s="159" t="n"/>
      <c r="C3" s="160" t="n"/>
      <c r="D3" s="161" t="n"/>
      <c r="E3" s="133" t="n"/>
      <c r="F3" s="159" t="n"/>
      <c r="G3" s="160" t="n"/>
      <c r="H3" s="160" t="n"/>
      <c r="I3" s="161" t="n"/>
      <c r="J3" s="133" t="n"/>
      <c r="K3" s="159" t="n"/>
      <c r="L3" s="160" t="n"/>
      <c r="M3" s="160" t="n"/>
      <c r="N3" s="161" t="n"/>
      <c r="O3" s="11" t="n"/>
    </row>
    <row r="4" ht="24" customHeight="1" thickBot="1">
      <c r="A4" s="12" t="inlineStr">
        <is>
          <t xml:space="preserve">Date </t>
        </is>
      </c>
      <c r="B4" s="162" t="n">
        <v>46125</v>
      </c>
      <c r="C4" s="151" t="n"/>
      <c r="D4" s="152" t="n"/>
      <c r="E4" s="133" t="n"/>
      <c r="F4" s="163" t="inlineStr">
        <is>
          <t>New Hires Met</t>
        </is>
      </c>
      <c r="G4" s="161" t="n"/>
      <c r="H4" s="21" t="n">
        <v>0</v>
      </c>
      <c r="I4" s="152" t="n"/>
      <c r="J4" s="133" t="n"/>
      <c r="K4" s="2" t="inlineStr">
        <is>
          <t>Number of Hrly Employees Had 5 min Conversation With</t>
        </is>
      </c>
      <c r="L4" s="12" t="inlineStr">
        <is>
          <t>Complete</t>
        </is>
      </c>
      <c r="M4" s="13" t="inlineStr">
        <is>
          <t># Rolling Racks Checked</t>
        </is>
      </c>
      <c r="N4" s="40" t="n">
        <v>0</v>
      </c>
      <c r="O4" s="14" t="n"/>
    </row>
    <row r="5" ht="25.5" customHeight="1">
      <c r="A5" s="2" t="inlineStr">
        <is>
          <t>Date Previous Evaluation</t>
        </is>
      </c>
      <c r="B5" s="164" t="n">
        <v>46104</v>
      </c>
      <c r="C5" s="151" t="n"/>
      <c r="D5" s="152" t="n"/>
      <c r="E5" s="133" t="n"/>
      <c r="F5" s="12" t="inlineStr">
        <is>
          <t xml:space="preserve">Number of New Hires </t>
        </is>
      </c>
      <c r="G5" s="152" t="n"/>
      <c r="H5" s="21" t="n">
        <v>0</v>
      </c>
      <c r="I5" s="152" t="n"/>
      <c r="J5" s="133" t="n"/>
      <c r="K5" s="16" t="inlineStr">
        <is>
          <t>Verifed Huddles                   Complete or Incomplete</t>
        </is>
      </c>
      <c r="L5" s="33" t="inlineStr">
        <is>
          <t>No</t>
        </is>
      </c>
      <c r="M5" s="12" t="inlineStr">
        <is>
          <t># Rolling Rack Items Sent Back</t>
        </is>
      </c>
      <c r="N5" s="41" t="n">
        <v>0</v>
      </c>
      <c r="O5" s="133" t="n"/>
    </row>
    <row r="6" ht="25.5" customHeight="1" thickBot="1">
      <c r="A6" s="17" t="n"/>
      <c r="B6" s="18" t="n"/>
      <c r="C6" s="19" t="n"/>
      <c r="D6" s="19" t="n"/>
      <c r="E6" s="133" t="n"/>
      <c r="F6" s="11" t="n"/>
      <c r="G6" s="11" t="n"/>
      <c r="H6" s="133" t="n"/>
      <c r="I6" s="9" t="n"/>
      <c r="J6" s="133" t="n"/>
      <c r="K6" s="13" t="n"/>
      <c r="L6" s="12" t="n"/>
      <c r="M6" s="13" t="inlineStr">
        <is>
          <t>Hang Count Variance</t>
        </is>
      </c>
      <c r="N6" s="35" t="n">
        <v>-0.15</v>
      </c>
      <c r="O6" s="133" t="n"/>
    </row>
    <row r="7" ht="48" customHeight="1">
      <c r="A7" s="165" t="inlineStr">
        <is>
          <t xml:space="preserve">Pre-Visit Data
</t>
        </is>
      </c>
      <c r="B7" s="155" t="n"/>
      <c r="C7" s="155" t="n"/>
      <c r="D7" s="155" t="n"/>
      <c r="E7" s="155" t="n"/>
      <c r="F7" s="155" t="n"/>
      <c r="G7" s="155" t="n"/>
      <c r="H7" s="155" t="n"/>
      <c r="I7" s="156" t="n"/>
      <c r="J7" s="133" t="n"/>
      <c r="K7" s="16" t="inlineStr">
        <is>
          <t>Ecommerce % +/- to Budget</t>
        </is>
      </c>
      <c r="L7" s="39" t="n">
        <v>0</v>
      </c>
      <c r="M7" s="13" t="inlineStr">
        <is>
          <t>Tote Count Variance</t>
        </is>
      </c>
      <c r="N7" s="35" t="n">
        <v>0</v>
      </c>
      <c r="O7" s="133" t="n"/>
    </row>
    <row r="8" ht="25.5" customHeight="1">
      <c r="A8" s="2" t="inlineStr">
        <is>
          <t>Rev % +/- to Budget</t>
        </is>
      </c>
      <c r="B8" s="152" t="n"/>
      <c r="C8" s="166" t="n">
        <v>0.149457913365614</v>
      </c>
      <c r="D8" s="152" t="n"/>
      <c r="E8" s="133" t="n"/>
      <c r="F8" s="2" t="inlineStr">
        <is>
          <t>Average Transaction +/- to LY</t>
        </is>
      </c>
      <c r="G8" s="152" t="n"/>
      <c r="H8" s="167" t="n">
        <v>0</v>
      </c>
      <c r="I8" s="152" t="n"/>
      <c r="J8" s="133" t="n"/>
      <c r="K8" s="2" t="inlineStr">
        <is>
          <t>Number of Ecommerce totes sent MTD</t>
        </is>
      </c>
      <c r="L8" s="34" t="n">
        <v>0</v>
      </c>
      <c r="M8" s="12" t="n"/>
      <c r="N8" s="12" t="n">
        <v>0</v>
      </c>
      <c r="O8" s="133" t="n"/>
    </row>
    <row r="9" ht="25.5" customHeight="1">
      <c r="A9" s="2" t="inlineStr">
        <is>
          <t>Rev % +/- to LY</t>
        </is>
      </c>
      <c r="B9" s="152" t="n"/>
      <c r="C9" s="166" t="n">
        <v>0.03286520110757474</v>
      </c>
      <c r="D9" s="152" t="n"/>
      <c r="E9" s="133" t="n"/>
      <c r="F9" s="2" t="inlineStr">
        <is>
          <t>Labor % to Budget</t>
        </is>
      </c>
      <c r="G9" s="152" t="n"/>
      <c r="H9" s="168" t="n">
        <v>0.28</v>
      </c>
      <c r="I9" s="152" t="n"/>
      <c r="J9" s="133" t="n"/>
      <c r="K9" s="2" t="inlineStr">
        <is>
          <t>Is Truck Loaded Correctly</t>
        </is>
      </c>
      <c r="L9" s="12" t="inlineStr">
        <is>
          <t>Yes</t>
        </is>
      </c>
      <c r="M9" s="13" t="inlineStr">
        <is>
          <t># Totes Checked</t>
        </is>
      </c>
      <c r="N9" s="41" t="n">
        <v>0</v>
      </c>
      <c r="O9" s="133" t="n"/>
    </row>
    <row r="10" ht="25.5" customHeight="1">
      <c r="A10" s="2" t="inlineStr">
        <is>
          <t>Donation Growth % to LY</t>
        </is>
      </c>
      <c r="B10" s="152" t="n"/>
      <c r="C10" s="169" t="n">
        <v>0</v>
      </c>
      <c r="D10" s="152" t="n"/>
      <c r="E10" s="133" t="n"/>
      <c r="F10" s="2" t="inlineStr">
        <is>
          <t>Annualized Employee Turnover</t>
        </is>
      </c>
      <c r="G10" s="152" t="n"/>
      <c r="H10" s="170" t="n">
        <v>1.764705882352941</v>
      </c>
      <c r="I10" s="152" t="n"/>
      <c r="J10" s="133" t="n"/>
      <c r="K10" s="12" t="n"/>
      <c r="L10" s="2" t="n"/>
      <c r="M10" s="12" t="inlineStr">
        <is>
          <t># Tote Items Sent Back</t>
        </is>
      </c>
      <c r="N10" s="41" t="n">
        <v>0</v>
      </c>
      <c r="O10" s="133" t="n"/>
    </row>
    <row r="11" ht="25.5" customHeight="1">
      <c r="A11" s="2" t="inlineStr">
        <is>
          <t>30 Day Sell Through %</t>
        </is>
      </c>
      <c r="B11" s="152" t="n"/>
      <c r="C11" s="171" t="n">
        <v>0.3829443740548494</v>
      </c>
      <c r="D11" s="152" t="n"/>
      <c r="E11" s="133" t="n"/>
      <c r="F11" s="2" t="inlineStr">
        <is>
          <t># of Open Positions</t>
        </is>
      </c>
      <c r="G11" s="152" t="n"/>
      <c r="H11" s="172" t="n">
        <v>0</v>
      </c>
      <c r="I11" s="152" t="n"/>
      <c r="J11" s="133" t="n"/>
      <c r="K11" s="20" t="n"/>
      <c r="L11" s="20" t="n"/>
      <c r="M11" s="20" t="n"/>
      <c r="N11" s="20" t="n"/>
      <c r="O11" s="133" t="n"/>
    </row>
    <row r="12" ht="23.25" customHeight="1" thickBot="1">
      <c r="A12" s="173" t="inlineStr">
        <is>
          <t>Yes</t>
        </is>
      </c>
      <c r="B12" s="155" t="n"/>
      <c r="C12" s="155" t="n"/>
      <c r="D12" s="156" t="n"/>
      <c r="E12" s="133" t="n"/>
      <c r="F12" s="133" t="n"/>
      <c r="G12" s="133" t="n"/>
      <c r="H12" s="133" t="n"/>
      <c r="I12" s="133" t="n"/>
      <c r="J12" s="133" t="n"/>
      <c r="K12" s="66" t="inlineStr">
        <is>
          <t>Error Rate Check Racks</t>
        </is>
      </c>
      <c r="L12" s="155" t="n"/>
      <c r="M12" s="174" t="inlineStr">
        <is>
          <t>Enter # (check a minimum of 4 racks)</t>
        </is>
      </c>
      <c r="N12" s="53" t="n"/>
      <c r="O12" s="133" t="n"/>
    </row>
    <row r="13" ht="24" customHeight="1" thickBot="1">
      <c r="A13" s="175" t="n"/>
      <c r="D13" s="176" t="n"/>
      <c r="E13" s="133" t="n"/>
      <c r="F13" s="157" t="inlineStr">
        <is>
          <t>Yes</t>
        </is>
      </c>
      <c r="G13" s="155" t="n"/>
      <c r="H13" s="155" t="n"/>
      <c r="I13" s="156" t="n"/>
      <c r="J13" s="133" t="n"/>
      <c r="K13" s="159" t="n"/>
      <c r="L13" s="160" t="n"/>
      <c r="M13" s="160" t="n"/>
      <c r="N13" s="54" t="inlineStr">
        <is>
          <t>% Auto Calc</t>
        </is>
      </c>
      <c r="O13" s="9" t="inlineStr">
        <is>
          <t xml:space="preserve"> </t>
        </is>
      </c>
    </row>
    <row r="14" ht="25.5" customHeight="1" thickBot="1">
      <c r="A14" s="12" t="inlineStr">
        <is>
          <t>Wares Shelves Full &amp; Presented Well</t>
        </is>
      </c>
      <c r="B14" s="151" t="n"/>
      <c r="C14" s="152" t="n"/>
      <c r="D14" s="37" t="inlineStr">
        <is>
          <t>Yes</t>
        </is>
      </c>
      <c r="E14" s="133" t="n"/>
      <c r="F14" s="159" t="n"/>
      <c r="G14" s="160" t="n"/>
      <c r="H14" s="160" t="n"/>
      <c r="I14" s="161" t="n"/>
      <c r="J14" s="133" t="n"/>
      <c r="K14" s="12" t="inlineStr">
        <is>
          <t>Total # of Items Checked</t>
        </is>
      </c>
      <c r="L14" s="152" t="n"/>
      <c r="M14" s="42" t="n">
        <v>0</v>
      </c>
      <c r="N14" s="21" t="n"/>
      <c r="O14" s="11" t="n"/>
    </row>
    <row r="15" ht="24.75" customHeight="1" thickBot="1">
      <c r="A15" s="12" t="inlineStr">
        <is>
          <t>Racks Full (70 - 80 items per 5 ft)</t>
        </is>
      </c>
      <c r="B15" s="151" t="n"/>
      <c r="C15" s="152" t="n"/>
      <c r="D15" s="37" t="inlineStr">
        <is>
          <t>Yes</t>
        </is>
      </c>
      <c r="E15" s="133" t="n"/>
      <c r="F15" s="12" t="inlineStr">
        <is>
          <t>Yes</t>
        </is>
      </c>
      <c r="G15" s="151" t="n"/>
      <c r="H15" s="152" t="n"/>
      <c r="I15" s="36" t="n"/>
      <c r="J15" s="133" t="n"/>
      <c r="K15" s="12" t="inlineStr">
        <is>
          <t># Wrong Price</t>
        </is>
      </c>
      <c r="L15" s="152" t="n"/>
      <c r="M15" s="43" t="n">
        <v>0</v>
      </c>
      <c r="N15" s="22">
        <f>M15/M14</f>
        <v/>
      </c>
      <c r="O15" s="14" t="n"/>
    </row>
    <row r="16" ht="20.25" customHeight="1" thickBot="1">
      <c r="A16" s="12" t="inlineStr">
        <is>
          <t>Shoe Racks Full</t>
        </is>
      </c>
      <c r="B16" s="151" t="n"/>
      <c r="C16" s="152" t="n"/>
      <c r="D16" s="37" t="inlineStr">
        <is>
          <t>Yes</t>
        </is>
      </c>
      <c r="E16" s="133" t="n"/>
      <c r="F16" s="12" t="inlineStr">
        <is>
          <t>Yes</t>
        </is>
      </c>
      <c r="G16" s="151" t="n"/>
      <c r="H16" s="152" t="n"/>
      <c r="I16" s="37" t="n"/>
      <c r="J16" s="133" t="n"/>
      <c r="K16" s="12" t="inlineStr">
        <is>
          <t># Defective</t>
        </is>
      </c>
      <c r="L16" s="152" t="n"/>
      <c r="M16" s="43" t="n">
        <v>0</v>
      </c>
      <c r="N16" s="22">
        <f>M16/M14</f>
        <v/>
      </c>
      <c r="O16" s="133" t="n"/>
    </row>
    <row r="17" ht="19.5" customHeight="1" thickBot="1">
      <c r="A17" s="12" t="inlineStr">
        <is>
          <t>End Caps Full &amp; Presented Well</t>
        </is>
      </c>
      <c r="B17" s="151" t="n"/>
      <c r="C17" s="152" t="n"/>
      <c r="D17" s="37" t="n"/>
      <c r="E17" s="133" t="n"/>
      <c r="F17" s="12" t="inlineStr">
        <is>
          <t>Yes</t>
        </is>
      </c>
      <c r="G17" s="151" t="n"/>
      <c r="H17" s="152" t="n"/>
      <c r="I17" s="37" t="n"/>
      <c r="J17" s="133" t="n"/>
      <c r="K17" s="12" t="inlineStr">
        <is>
          <t># Wrong Category/Size</t>
        </is>
      </c>
      <c r="L17" s="152" t="n"/>
      <c r="M17" s="43" t="n">
        <v>0</v>
      </c>
      <c r="N17" s="22">
        <f>M17/M14</f>
        <v/>
      </c>
      <c r="O17" s="133" t="n"/>
    </row>
    <row r="18" ht="21" customHeight="1" thickBot="1">
      <c r="A18" s="157" t="inlineStr">
        <is>
          <t>Yes</t>
        </is>
      </c>
      <c r="B18" s="155" t="n"/>
      <c r="C18" s="155" t="n"/>
      <c r="D18" s="156" t="n"/>
      <c r="E18" s="133" t="n"/>
      <c r="F18" s="12" t="inlineStr">
        <is>
          <t>Yes</t>
        </is>
      </c>
      <c r="G18" s="151" t="n"/>
      <c r="H18" s="152" t="n"/>
      <c r="I18" s="37" t="n"/>
      <c r="J18" s="133" t="n"/>
      <c r="K18" s="12" t="inlineStr">
        <is>
          <t xml:space="preserve"> Total Error Rate Rack</t>
        </is>
      </c>
      <c r="L18" s="152" t="n"/>
      <c r="M18" s="72" t="n"/>
      <c r="N18" s="23">
        <f>SUM(M15:M17)/M14</f>
        <v/>
      </c>
      <c r="O18" s="133" t="n"/>
    </row>
    <row r="19" ht="15.75" customHeight="1" thickBot="1">
      <c r="A19" s="159" t="n"/>
      <c r="B19" s="160" t="n"/>
      <c r="C19" s="160" t="n"/>
      <c r="D19" s="161" t="n"/>
      <c r="E19" s="133" t="n"/>
      <c r="F19" s="12" t="inlineStr">
        <is>
          <t>Yes</t>
        </is>
      </c>
      <c r="G19" s="151" t="n"/>
      <c r="H19" s="152" t="n"/>
      <c r="I19" s="38" t="n"/>
      <c r="J19" s="133" t="n"/>
      <c r="K19" s="11" t="n"/>
      <c r="L19" s="133" t="n"/>
      <c r="M19" s="11" t="n"/>
      <c r="N19" s="24" t="n"/>
      <c r="O19" s="133" t="n"/>
    </row>
    <row r="20" ht="26.25" customHeight="1" thickBot="1">
      <c r="A20" s="177" t="inlineStr">
        <is>
          <t>Parking Lot</t>
        </is>
      </c>
      <c r="B20" s="152" t="n"/>
      <c r="C20" s="178" t="inlineStr">
        <is>
          <t>Yes</t>
        </is>
      </c>
      <c r="D20" s="152" t="n"/>
      <c r="E20" s="133" t="n"/>
      <c r="F20" s="12" t="inlineStr">
        <is>
          <t>Yes</t>
        </is>
      </c>
      <c r="G20" s="151" t="n"/>
      <c r="H20" s="152" t="n"/>
      <c r="I20" s="37" t="n"/>
      <c r="J20" s="133" t="n"/>
      <c r="K20" s="179" t="inlineStr">
        <is>
          <t>Error Rate Check Container Labels</t>
        </is>
      </c>
      <c r="L20" s="155" t="n"/>
      <c r="M20" s="174" t="n">
        <v>0</v>
      </c>
      <c r="N20" s="25" t="n"/>
      <c r="O20" s="133" t="n"/>
    </row>
    <row r="21" ht="20.25" customHeight="1">
      <c r="A21" s="177" t="inlineStr">
        <is>
          <t>Donation Area</t>
        </is>
      </c>
      <c r="B21" s="152" t="n"/>
      <c r="C21" s="178" t="inlineStr">
        <is>
          <t>Yes</t>
        </is>
      </c>
      <c r="D21" s="152" t="n"/>
      <c r="E21" s="133" t="n"/>
      <c r="F21" s="12" t="inlineStr">
        <is>
          <t>E&amp;M</t>
        </is>
      </c>
      <c r="G21" s="151" t="n"/>
      <c r="H21" s="152" t="n"/>
      <c r="I21" s="37" t="n"/>
      <c r="J21" s="133" t="n"/>
      <c r="K21" s="159" t="n"/>
      <c r="L21" s="160" t="n"/>
      <c r="M21" s="160" t="n"/>
      <c r="N21" s="54" t="inlineStr">
        <is>
          <t>% Auto Calc</t>
        </is>
      </c>
      <c r="O21" s="133" t="n"/>
    </row>
    <row r="22" ht="19.5" customHeight="1" thickBot="1">
      <c r="A22" s="177" t="inlineStr">
        <is>
          <t>Windows / Entry</t>
        </is>
      </c>
      <c r="B22" s="152" t="n"/>
      <c r="C22" s="178" t="inlineStr">
        <is>
          <t>Yes</t>
        </is>
      </c>
      <c r="D22" s="152" t="n"/>
      <c r="E22" s="133" t="n"/>
      <c r="F22" s="11" t="inlineStr">
        <is>
          <t xml:space="preserve"> </t>
        </is>
      </c>
      <c r="G22" s="11" t="n"/>
      <c r="H22" s="11" t="n"/>
      <c r="I22" s="26" t="n"/>
      <c r="J22" s="133" t="n"/>
      <c r="K22" s="116" t="inlineStr">
        <is>
          <t>Total # Containers Checked</t>
        </is>
      </c>
      <c r="L22" s="155" t="n"/>
      <c r="M22" s="27" t="n">
        <v>0</v>
      </c>
      <c r="N22" s="28" t="n"/>
      <c r="O22" s="133" t="n"/>
    </row>
    <row r="23" ht="21.95" customHeight="1" thickBot="1">
      <c r="A23" s="180" t="inlineStr">
        <is>
          <t>Cash Wraps</t>
        </is>
      </c>
      <c r="B23" s="156" t="n"/>
      <c r="C23" s="38" t="inlineStr">
        <is>
          <t>Yes</t>
        </is>
      </c>
      <c r="D23" s="156" t="n"/>
      <c r="E23" s="133" t="n"/>
      <c r="F23" s="133" t="n"/>
      <c r="G23" s="29" t="n"/>
      <c r="H23" s="29" t="n"/>
      <c r="I23" s="29" t="n"/>
      <c r="J23" s="133" t="n"/>
      <c r="K23" s="71" t="inlineStr">
        <is>
          <t>Not Labeled</t>
        </is>
      </c>
      <c r="L23" s="151" t="n"/>
      <c r="M23" s="27" t="n">
        <v>0</v>
      </c>
      <c r="N23" s="3">
        <f>M23/M$22</f>
        <v/>
      </c>
      <c r="O23" s="133" t="n"/>
    </row>
    <row r="24" ht="21.95" customHeight="1" thickBot="1">
      <c r="A24" s="21" t="inlineStr">
        <is>
          <t>Floor / Racks</t>
        </is>
      </c>
      <c r="B24" s="152" t="n"/>
      <c r="C24" s="37" t="inlineStr">
        <is>
          <t>Yes</t>
        </is>
      </c>
      <c r="D24" s="152" t="n"/>
      <c r="E24" s="133" t="n"/>
      <c r="F24" s="29" t="n"/>
      <c r="G24" s="29" t="n"/>
      <c r="H24" s="29" t="n"/>
      <c r="I24" s="29" t="n"/>
      <c r="J24" s="133" t="n"/>
      <c r="K24" s="71" t="inlineStr">
        <is>
          <t>Labeled as Salvage but is Raw</t>
        </is>
      </c>
      <c r="L24" s="151" t="n"/>
      <c r="M24" s="27" t="n">
        <v>0</v>
      </c>
      <c r="N24" s="3">
        <f>M24/M$22</f>
        <v/>
      </c>
      <c r="O24" s="133" t="n"/>
    </row>
    <row r="25" ht="21.95" customHeight="1" thickBot="1">
      <c r="A25" s="21" t="inlineStr">
        <is>
          <t>Wares / Shelves</t>
        </is>
      </c>
      <c r="B25" s="152" t="n"/>
      <c r="C25" s="37" t="inlineStr">
        <is>
          <t>Yes</t>
        </is>
      </c>
      <c r="D25" s="152" t="n"/>
      <c r="E25" s="133" t="n"/>
      <c r="F25" s="11" t="n"/>
      <c r="G25" s="19" t="n"/>
      <c r="H25" s="19" t="n"/>
      <c r="I25" s="133" t="n"/>
      <c r="J25" s="133" t="n"/>
      <c r="K25" s="71" t="inlineStr">
        <is>
          <t>Labeled as Raw but is Salvage</t>
        </is>
      </c>
      <c r="L25" s="151" t="n"/>
      <c r="M25" s="12" t="n">
        <v>0</v>
      </c>
      <c r="N25" s="3">
        <f>M25/M$22</f>
        <v/>
      </c>
      <c r="O25" s="133" t="n"/>
    </row>
    <row r="26" ht="21.95" customHeight="1" thickBot="1">
      <c r="A26" s="21" t="inlineStr">
        <is>
          <t>Fitting Rooms</t>
        </is>
      </c>
      <c r="B26" s="152" t="n"/>
      <c r="C26" s="37" t="inlineStr">
        <is>
          <t>Yes</t>
        </is>
      </c>
      <c r="D26" s="152" t="n"/>
      <c r="E26" s="133" t="n"/>
      <c r="F26" s="11" t="n"/>
      <c r="G26" s="19" t="n"/>
      <c r="H26" s="19" t="n"/>
      <c r="I26" s="133" t="n"/>
      <c r="J26" s="133" t="n"/>
      <c r="K26" s="71" t="inlineStr">
        <is>
          <t>Labeled as Soft but is Hard</t>
        </is>
      </c>
      <c r="L26" s="151" t="n"/>
      <c r="M26" s="12" t="n">
        <v>0</v>
      </c>
      <c r="N26" s="3">
        <f>M26/M$22</f>
        <v/>
      </c>
      <c r="O26" s="133" t="n"/>
    </row>
    <row r="27" ht="21.95" customHeight="1" thickBot="1">
      <c r="A27" s="21" t="inlineStr">
        <is>
          <t>Production Room</t>
        </is>
      </c>
      <c r="B27" s="152" t="n"/>
      <c r="C27" s="37" t="n"/>
      <c r="D27" s="152" t="n"/>
      <c r="E27" s="133" t="n"/>
      <c r="F27" s="11" t="n"/>
      <c r="G27" s="19" t="n"/>
      <c r="H27" s="19" t="n"/>
      <c r="I27" s="133" t="n"/>
      <c r="J27" s="26" t="n"/>
      <c r="K27" s="71" t="inlineStr">
        <is>
          <t>Labeled as Hard but is Soft</t>
        </is>
      </c>
      <c r="L27" s="151" t="n"/>
      <c r="M27" s="12" t="n">
        <v>0</v>
      </c>
      <c r="N27" s="3">
        <f>M27/M$22</f>
        <v/>
      </c>
      <c r="O27" s="133" t="n"/>
    </row>
    <row r="28" ht="21.95" customHeight="1" thickBot="1">
      <c r="A28" s="21" t="inlineStr">
        <is>
          <t>Offices</t>
        </is>
      </c>
      <c r="B28" s="152" t="n"/>
      <c r="C28" s="37" t="n"/>
      <c r="D28" s="152" t="n"/>
      <c r="E28" s="133" t="n"/>
      <c r="F28" s="11" t="n"/>
      <c r="G28" s="19" t="n"/>
      <c r="H28" s="19" t="n"/>
      <c r="I28" s="133" t="n"/>
      <c r="J28" s="26" t="n"/>
      <c r="K28" s="71" t="inlineStr">
        <is>
          <t>Total Error Rate Container Labels</t>
        </is>
      </c>
      <c r="L28" s="151" t="n"/>
      <c r="M28" s="12" t="n"/>
      <c r="N28" s="3">
        <f>SUM(M23:M27)/M22</f>
        <v/>
      </c>
      <c r="O28" s="133" t="n"/>
    </row>
    <row r="29">
      <c r="A29" s="133" t="n"/>
      <c r="B29" s="133" t="n"/>
      <c r="C29" s="133" t="n"/>
      <c r="D29" s="133" t="n"/>
      <c r="E29" s="133" t="n"/>
      <c r="F29" s="26" t="n"/>
      <c r="G29" s="26" t="n"/>
      <c r="H29" s="26" t="n"/>
      <c r="I29" s="26" t="n"/>
      <c r="J29" s="26" t="n"/>
      <c r="K29" s="133" t="n"/>
      <c r="L29" s="133" t="n"/>
      <c r="M29" s="133" t="n"/>
      <c r="N29" s="133" t="n"/>
      <c r="O29" s="30" t="n"/>
      <c r="P29" s="4" t="n"/>
    </row>
    <row r="30" ht="15.75" customHeight="1" thickBot="1">
      <c r="A30" s="7" t="inlineStr">
        <is>
          <t>Tri-County is performing well above sales budget through mid-April, posting $79,196 MTD against a budget of $68,898, which represents a +14.9% favorability to plan and a +3.3% increase over last year. The 30-day sell-through rate of 38.3% indicates healthy product movement on the floor, and the average transaction value of $26.25 suggests strong customer basket building. Randy Conyers and his assistant managers William Harper and Michelle Baird deserve recognition for delivering top-line results that exceed both budget and prior-year benchmarks with no observation gaps noted during this visit.
However, there are significant operational concerns beneath the surface of these strong sales numbers. The store is currently running a unit goal deficit of -8,417 units against a monthly goal of 40,140. This means roughly 21% of the unit production target has not been met, which will compress the team's ability to sustain sales momentum through the back half of the month if production does not ramp aggressively. Labor is running at +28.0% over budget, which is a serious overspend that is eroding the margin benefit of the strong top-line performance. Randy Conyers must address scheduling discipline immediately to bring labor back in line before month-end.
YTD annualized turnover stands at 176.5%, which is critically high and unsustainable. While the store currently has zero open positions, the churn rate at this level creates constant retraining burden, disrupts team continuity, and contributes directly to the inflated labor percentage. Donation growth is flat to last year at 0.0%, and ecommerce is contributing nothing to the operation—0 totes shipped MTD and 0.0% to ecommerce budget. These are missed revenue channels that need attention.
Key focus areas moving forward:
• Close the -8,417 unit deficit through aggressive production scheduling and throughput accountability
• Reduce labor percentage to budget by tightening schedule management and eliminating overtime
• Address the 176.5% annualized turnover through retention-focused initiatives and root-cause analysis
• Activate ecommerce sourcing and tote shipments to contribute to overall revenue
• Develop a plan to grow donation volume above flat year-over-year performance</t>
        </is>
      </c>
      <c r="B30" s="133" t="n"/>
      <c r="C30" s="133" t="n"/>
      <c r="D30" s="133" t="n"/>
      <c r="E30" s="133" t="n"/>
      <c r="F30" s="26" t="n"/>
      <c r="G30" s="26" t="n"/>
      <c r="H30" s="26" t="n"/>
      <c r="I30" s="26" t="n"/>
      <c r="J30" s="26" t="n"/>
      <c r="K30" s="26" t="n"/>
      <c r="L30" s="26" t="n"/>
      <c r="M30" s="26" t="n"/>
      <c r="N30" s="26" t="n"/>
      <c r="O30" s="30" t="n"/>
      <c r="P30" s="4" t="n"/>
    </row>
    <row r="31">
      <c r="A31" s="181" t="inlineStr">
        <is>
          <t>Lebanon is performing well from a sales standpoint, currently +5% to budget and +26.3% to last year, with several departments contributing positively.  The store has maintained production room integrity.    However, we are missing proper execution in multiple areas of our business such as sales floor presentation,   efficient production, donation counts not being accurately captured,  and performance management issues.  These issues need to to be corrected immediately to ensure accurate reporting and proper execution.
The store is clean and has a solid routine in place, but there are execution gaps. The Spring flip was not fully completed to standard, and there have been issues with basic operational readiness, including running out of price tags and supplies. The team needs to be more proactive in identifying and addressing these gaps before they impact production and sales.
Production remains the biggest opportunity. Hardlines missed goal by 9% and Softlines by 15%, which is directly impacting key categories. Rack Goods (-13.3%) and Wares (-6.7%) are underperforming and must be the primary focus. On the positive side, Shoes (+3.8%), Toys (+27.4%), and Linens (+57.9%) are performing well and show what is possible with consistent execution.
There have also been personnel challenges requiring HR involvement, along with a noticeable lack of consistent leadership presence. Lindsey will need to step up in the manager’s absence by taking full ownership of daily operations, holding the team accountable, and actively performance managing issues.
Focus moving forward:
Correct donation counting immediately.
Improve Hardlines and Softlines production to meet demand.
Prioritize Rack Goods and Wares performance.
Ensure operational readiness (supplies, tagging, execution).
Strengthen leadership presence, accountability, and team management.</t>
        </is>
      </c>
      <c r="B31" s="155" t="n"/>
      <c r="C31" s="155" t="n"/>
      <c r="D31" s="155" t="n"/>
      <c r="E31" s="155" t="n"/>
      <c r="F31" s="155" t="n"/>
      <c r="G31" s="155" t="n"/>
      <c r="H31" s="155" t="n"/>
      <c r="I31" s="155" t="n"/>
      <c r="J31" s="155" t="n"/>
      <c r="K31" s="155" t="n"/>
      <c r="L31" s="155" t="n"/>
      <c r="M31" s="155" t="n"/>
      <c r="N31" s="156" t="n"/>
      <c r="O31" s="30" t="n"/>
      <c r="P31" s="4" t="n"/>
    </row>
    <row r="32">
      <c r="A32" s="175" t="n"/>
      <c r="N32" s="176" t="n"/>
      <c r="O32" s="30" t="n"/>
      <c r="P32" s="4" t="n"/>
    </row>
    <row r="33">
      <c r="A33" s="175" t="n"/>
      <c r="N33" s="176" t="n"/>
      <c r="O33" s="30" t="n"/>
      <c r="P33" s="4" t="n"/>
    </row>
    <row r="34" ht="15" customHeight="1">
      <c r="A34" s="175" t="n"/>
      <c r="N34" s="176" t="n"/>
      <c r="O34" s="30" t="n"/>
      <c r="P34" s="4" t="n"/>
    </row>
    <row r="35">
      <c r="A35" s="175" t="n"/>
      <c r="N35" s="176" t="n"/>
      <c r="O35" s="133" t="n"/>
    </row>
    <row r="36">
      <c r="A36" s="175" t="n"/>
      <c r="N36" s="176" t="n"/>
      <c r="O36" s="133" t="n"/>
    </row>
    <row r="37" ht="195.75" customHeight="1">
      <c r="A37" s="159" t="n"/>
      <c r="B37" s="160" t="n"/>
      <c r="C37" s="160" t="n"/>
      <c r="D37" s="160" t="n"/>
      <c r="E37" s="160" t="n"/>
      <c r="F37" s="160" t="n"/>
      <c r="G37" s="160" t="n"/>
      <c r="H37" s="160" t="n"/>
      <c r="I37" s="160" t="n"/>
      <c r="J37" s="160" t="n"/>
      <c r="K37" s="160" t="n"/>
      <c r="L37" s="160" t="n"/>
      <c r="M37" s="160" t="n"/>
      <c r="N37" s="161" t="n"/>
      <c r="O37" s="133" t="n"/>
    </row>
    <row r="38">
      <c r="A38" s="31" t="n"/>
      <c r="B38" s="133" t="n"/>
      <c r="C38" s="133" t="n"/>
      <c r="D38" s="133" t="n"/>
      <c r="E38" s="133" t="n"/>
      <c r="F38" s="133" t="n"/>
      <c r="G38" s="133" t="n"/>
      <c r="H38" s="133" t="n"/>
      <c r="I38" s="133" t="n"/>
      <c r="J38" s="133" t="n"/>
      <c r="K38" s="133" t="n"/>
      <c r="L38" s="133" t="n"/>
      <c r="M38" s="133" t="n"/>
      <c r="N38" s="133" t="n"/>
      <c r="O38" s="133" t="n"/>
    </row>
    <row r="39" ht="19.5" customHeight="1" thickBot="1">
      <c r="A39" s="32" t="inlineStr">
        <is>
          <t>Three Most Important Priorities</t>
        </is>
      </c>
      <c r="B39" s="133" t="n"/>
      <c r="C39" s="133" t="n"/>
      <c r="D39" s="133" t="n"/>
      <c r="E39" s="133" t="n"/>
      <c r="F39" s="133" t="n"/>
      <c r="G39" s="133" t="n"/>
      <c r="H39" s="133" t="n"/>
      <c r="I39" s="133" t="n"/>
      <c r="J39" s="133" t="n"/>
      <c r="K39" s="133" t="n"/>
      <c r="L39" s="133" t="n"/>
      <c r="M39" s="133" t="n"/>
      <c r="N39" s="133" t="n"/>
      <c r="O39" s="133" t="n"/>
    </row>
    <row r="40" ht="15" customHeight="1">
      <c r="A40" s="182" t="n">
        <v>1</v>
      </c>
      <c r="B40" s="66" t="inlineStr">
        <is>
          <t>Opportunity</t>
        </is>
      </c>
      <c r="C40" s="155" t="n"/>
      <c r="D40" s="183" t="inlineStr">
        <is>
          <t>Unit Production Deficit: Tri-County is currently -8,417 units behind the monthly goal of 40,140, representing a 21% shortfall at the midpoint of April. If production pace does not increase significantly, the store risks being unable to sustain the current sales trajectory through month-end and will fail to meet the unit goal by 04/30/2026.</t>
        </is>
      </c>
      <c r="E40" s="155" t="n"/>
      <c r="F40" s="155" t="n"/>
      <c r="G40" s="155" t="n"/>
      <c r="H40" s="155" t="n"/>
      <c r="I40" s="155" t="n"/>
      <c r="J40" s="155" t="n"/>
      <c r="K40" s="155" t="n"/>
      <c r="L40" s="155" t="n"/>
      <c r="M40" s="155" t="n"/>
      <c r="N40" s="156" t="n"/>
      <c r="O40" s="30" t="n"/>
      <c r="P40" s="4" t="n"/>
      <c r="Q40" s="4" t="n"/>
      <c r="R40" s="4" t="n"/>
      <c r="S40" s="4" t="n"/>
      <c r="T40" s="4" t="n"/>
    </row>
    <row r="41" ht="15.75" customHeight="1" thickBot="1">
      <c r="A41" s="184" t="n"/>
      <c r="B41" s="159" t="n"/>
      <c r="C41" s="160" t="n"/>
      <c r="D41" s="159" t="n"/>
      <c r="E41" s="160" t="n"/>
      <c r="F41" s="160" t="n"/>
      <c r="G41" s="160" t="n"/>
      <c r="H41" s="160" t="n"/>
      <c r="I41" s="160" t="n"/>
      <c r="J41" s="160" t="n"/>
      <c r="K41" s="160" t="n"/>
      <c r="L41" s="160" t="n"/>
      <c r="M41" s="160" t="n"/>
      <c r="N41" s="161" t="n"/>
      <c r="O41" s="30" t="n"/>
      <c r="P41" s="4" t="n"/>
      <c r="Q41" s="4" t="n"/>
      <c r="R41" s="4" t="n"/>
      <c r="S41" s="4" t="n"/>
      <c r="T41" s="4" t="n"/>
    </row>
    <row r="42" ht="15" customHeight="1">
      <c r="A42" s="184" t="n"/>
      <c r="B42" s="179" t="inlineStr">
        <is>
          <t>Action Plan            (Smart Goal)</t>
        </is>
      </c>
      <c r="C42" s="155" t="n"/>
      <c r="D42" s="185" t="inlineStr">
        <is>
          <t>Responsible: Randy Conyers, supported by William Harper and Michelle Baird
• Immediately audit current daily production output per processor and establish a minimum daily unit target of 1,600+ units to close the gap by 04/30/2026
• William Harper to own morning shift production accountability—conduct twice-daily production counts at 12:00 PM and shift end, reporting totals to Randy Conyers daily
• Michelle Baird to own afternoon and evening production flow, ensuring racks and bins are continuously replenished and no staging bottlenecks exist
• Randy Conyers to reassign at least two floor associates to production during non-peak selling hours (10 AM–12 PM, 2 PM–4 PM) until the deficit is closed
• Implement a visible production tracking board in the back room updated in real time to drive team urgency
• Measurable outcome: Produce a minimum of 8,417 additional units by 04/30/2026 to meet the 40,140 monthly unit goal</t>
        </is>
      </c>
      <c r="E42" s="155" t="n"/>
      <c r="F42" s="155" t="n"/>
      <c r="G42" s="155" t="n"/>
      <c r="H42" s="155" t="n"/>
      <c r="I42" s="155" t="n"/>
      <c r="J42" s="155" t="n"/>
      <c r="K42" s="155" t="n"/>
      <c r="L42" s="155" t="n"/>
      <c r="M42" s="155" t="n"/>
      <c r="N42" s="156" t="n"/>
      <c r="O42" s="30" t="n"/>
      <c r="P42" s="4" t="n"/>
      <c r="Q42" s="4" t="n"/>
      <c r="R42" s="4" t="n"/>
      <c r="S42" s="4" t="n"/>
      <c r="T42" s="4" t="n"/>
    </row>
    <row r="43">
      <c r="A43" s="184" t="n"/>
      <c r="B43" s="175" t="n"/>
      <c r="D43" s="175" t="n"/>
      <c r="N43" s="176" t="n"/>
      <c r="O43" s="30" t="n"/>
      <c r="P43" s="4" t="n"/>
      <c r="Q43" s="4" t="n"/>
      <c r="R43" s="4" t="n"/>
      <c r="S43" s="4" t="n"/>
      <c r="T43" s="4" t="n"/>
    </row>
    <row r="44" ht="77.25" customHeight="1" thickBot="1">
      <c r="A44" s="158" t="n"/>
      <c r="B44" s="159" t="n"/>
      <c r="C44" s="160" t="n"/>
      <c r="D44" s="159" t="n"/>
      <c r="E44" s="160" t="n"/>
      <c r="F44" s="160" t="n"/>
      <c r="G44" s="160" t="n"/>
      <c r="H44" s="160" t="n"/>
      <c r="I44" s="160" t="n"/>
      <c r="J44" s="160" t="n"/>
      <c r="K44" s="160" t="n"/>
      <c r="L44" s="160" t="n"/>
      <c r="M44" s="160" t="n"/>
      <c r="N44" s="161" t="n"/>
      <c r="O44" s="30" t="n"/>
      <c r="P44" s="4" t="n"/>
      <c r="Q44" s="4" t="n"/>
      <c r="R44" s="4" t="n"/>
      <c r="S44" s="4" t="n"/>
      <c r="T44" s="4" t="n"/>
    </row>
    <row r="45" ht="15.75" customHeight="1" thickBot="1">
      <c r="A45" s="133" t="n"/>
      <c r="B45" s="133" t="n"/>
      <c r="C45" s="133" t="n"/>
      <c r="D45" s="30" t="n"/>
      <c r="E45" s="30" t="n"/>
      <c r="F45" s="30" t="n"/>
      <c r="G45" s="30" t="n"/>
      <c r="H45" s="30" t="n"/>
      <c r="I45" s="30" t="n"/>
      <c r="J45" s="30" t="n"/>
      <c r="K45" s="30" t="n"/>
      <c r="L45" s="30" t="n"/>
      <c r="M45" s="30" t="n"/>
      <c r="N45" s="30" t="n"/>
      <c r="O45" s="30" t="n"/>
      <c r="P45" s="4" t="n"/>
      <c r="Q45" s="4" t="n"/>
      <c r="R45" s="4" t="n"/>
      <c r="S45" s="4" t="n"/>
      <c r="T45" s="4" t="n"/>
    </row>
    <row r="46" ht="15" customHeight="1">
      <c r="A46" s="182" t="n">
        <v>2</v>
      </c>
      <c r="B46" s="66" t="inlineStr">
        <is>
          <t>Opportunity</t>
        </is>
      </c>
      <c r="C46" s="155" t="n"/>
      <c r="D46" s="183" t="inlineStr">
        <is>
          <t>Labor Overspend: Labor is running +28.0% over budget, which significantly undermines the profitability of the store's +14.9% sales surplus. Without immediate schedule corrections, the store will close April with labor costs that negate the strong revenue performance. This must be corrected by 04/30/2026.</t>
        </is>
      </c>
      <c r="E46" s="155" t="n"/>
      <c r="F46" s="155" t="n"/>
      <c r="G46" s="155" t="n"/>
      <c r="H46" s="155" t="n"/>
      <c r="I46" s="155" t="n"/>
      <c r="J46" s="155" t="n"/>
      <c r="K46" s="155" t="n"/>
      <c r="L46" s="155" t="n"/>
      <c r="M46" s="155" t="n"/>
      <c r="N46" s="156" t="n"/>
      <c r="O46" s="30" t="n"/>
      <c r="P46" s="4" t="n"/>
      <c r="Q46" s="4" t="n"/>
      <c r="R46" s="4" t="n"/>
      <c r="S46" s="4" t="n"/>
      <c r="T46" s="4" t="n"/>
    </row>
    <row r="47" ht="15.75" customHeight="1" thickBot="1">
      <c r="A47" s="184" t="n"/>
      <c r="B47" s="159" t="n"/>
      <c r="C47" s="160" t="n"/>
      <c r="D47" s="159" t="n"/>
      <c r="E47" s="160" t="n"/>
      <c r="F47" s="160" t="n"/>
      <c r="G47" s="160" t="n"/>
      <c r="H47" s="160" t="n"/>
      <c r="I47" s="160" t="n"/>
      <c r="J47" s="160" t="n"/>
      <c r="K47" s="160" t="n"/>
      <c r="L47" s="160" t="n"/>
      <c r="M47" s="160" t="n"/>
      <c r="N47" s="161" t="n"/>
      <c r="O47" s="30" t="n"/>
      <c r="P47" s="4" t="n"/>
      <c r="Q47" s="4" t="n"/>
      <c r="R47" s="4" t="n"/>
      <c r="S47" s="4" t="n"/>
      <c r="T47" s="4" t="n"/>
    </row>
    <row r="48" ht="15" customHeight="1">
      <c r="A48" s="184" t="n"/>
      <c r="B48" s="179" t="inlineStr">
        <is>
          <t>Action Plan            (Smart Goal)</t>
        </is>
      </c>
      <c r="C48" s="155" t="n"/>
      <c r="D48" s="185" t="inlineStr">
        <is>
          <t>Responsible: Randy Conyers
• Randy Conyers to conduct a full schedule audit by 04/15/2026, identifying all overtime hours, overlapping shifts, and unnecessary coverage during low-traffic periods
• Reduce scheduled hours by a minimum of 15% for the remaining two weeks of April, prioritizing cuts during historically low-volume dayparts
• William Harper and Michelle Baird to manage their respective shifts to zero overtime unless pre-approved in writing by Randy Conyers
• Randy Conyers to review and approve all schedules 7 days in advance with no same-week edits unless emergency-related
• Cross-train existing team members to cover register, donation door, and production to reduce the need for additional shift coverage
• Measurable outcome: Bring labor percentage to within 5% of budget by 04/30/2026 through schedule reductions totaling a minimum of 15% of remaining planned hours</t>
        </is>
      </c>
      <c r="E48" s="155" t="n"/>
      <c r="F48" s="155" t="n"/>
      <c r="G48" s="155" t="n"/>
      <c r="H48" s="155" t="n"/>
      <c r="I48" s="155" t="n"/>
      <c r="J48" s="155" t="n"/>
      <c r="K48" s="155" t="n"/>
      <c r="L48" s="155" t="n"/>
      <c r="M48" s="155" t="n"/>
      <c r="N48" s="156" t="n"/>
      <c r="O48" s="30" t="n"/>
      <c r="P48" s="4" t="n"/>
      <c r="Q48" s="4" t="n"/>
      <c r="R48" s="4" t="n"/>
      <c r="S48" s="4" t="n"/>
      <c r="T48" s="4" t="n"/>
    </row>
    <row r="49">
      <c r="A49" s="184" t="n"/>
      <c r="B49" s="175" t="n"/>
      <c r="D49" s="175" t="n"/>
      <c r="N49" s="176" t="n"/>
      <c r="O49" s="30" t="n"/>
      <c r="P49" s="4" t="n"/>
      <c r="Q49" s="4" t="n"/>
      <c r="R49" s="4" t="n"/>
      <c r="S49" s="4" t="n"/>
      <c r="T49" s="4" t="n"/>
    </row>
    <row r="50" ht="33.75" customHeight="1" thickBot="1">
      <c r="A50" s="158" t="n"/>
      <c r="B50" s="159" t="n"/>
      <c r="C50" s="160" t="n"/>
      <c r="D50" s="159" t="n"/>
      <c r="E50" s="160" t="n"/>
      <c r="F50" s="160" t="n"/>
      <c r="G50" s="160" t="n"/>
      <c r="H50" s="160" t="n"/>
      <c r="I50" s="160" t="n"/>
      <c r="J50" s="160" t="n"/>
      <c r="K50" s="160" t="n"/>
      <c r="L50" s="160" t="n"/>
      <c r="M50" s="160" t="n"/>
      <c r="N50" s="161" t="n"/>
      <c r="O50" s="30" t="n"/>
      <c r="P50" s="4" t="n"/>
      <c r="Q50" s="4" t="n"/>
      <c r="R50" s="4" t="n"/>
      <c r="S50" s="4" t="n"/>
      <c r="T50" s="4" t="n"/>
    </row>
    <row r="51">
      <c r="A51" s="133" t="n"/>
      <c r="B51" s="133" t="n"/>
      <c r="C51" s="133" t="n"/>
      <c r="D51" s="30" t="n"/>
      <c r="E51" s="30" t="n"/>
      <c r="F51" s="30" t="n"/>
      <c r="G51" s="30" t="n"/>
      <c r="H51" s="30" t="n"/>
      <c r="I51" s="30" t="n"/>
      <c r="J51" s="30" t="n"/>
      <c r="K51" s="30" t="n"/>
      <c r="L51" s="30" t="n"/>
      <c r="M51" s="30" t="n"/>
      <c r="N51" s="30" t="n"/>
      <c r="O51" s="30" t="n"/>
      <c r="P51" s="4" t="n"/>
      <c r="Q51" s="4" t="n"/>
      <c r="R51" s="4" t="n"/>
      <c r="S51" s="4" t="n"/>
      <c r="T51" s="4" t="n"/>
    </row>
    <row r="52" ht="15" customHeight="1">
      <c r="A52" s="182" t="n">
        <v>3</v>
      </c>
      <c r="B52" s="66" t="inlineStr">
        <is>
          <t>Opportunity</t>
        </is>
      </c>
      <c r="C52" s="155" t="n"/>
      <c r="D52" s="183" t="inlineStr">
        <is>
          <t>Employee Turnover: YTD annualized turnover is at 176.5%, which is critically above acceptable thresholds and is a primary driver of elevated labor costs, retraining expenses, and inconsistent store execution. A retention and root-cause strategy must be implemented immediately with measurable progress expected by 05/31/2026.</t>
        </is>
      </c>
      <c r="E52" s="155" t="n"/>
      <c r="F52" s="155" t="n"/>
      <c r="G52" s="155" t="n"/>
      <c r="H52" s="155" t="n"/>
      <c r="I52" s="155" t="n"/>
      <c r="J52" s="155" t="n"/>
      <c r="K52" s="155" t="n"/>
      <c r="L52" s="155" t="n"/>
      <c r="M52" s="155" t="n"/>
      <c r="N52" s="156" t="n"/>
      <c r="O52" s="30" t="n"/>
      <c r="P52" s="4" t="n"/>
      <c r="Q52" s="4" t="n"/>
      <c r="R52" s="4" t="n"/>
      <c r="S52" s="4" t="n"/>
      <c r="T52" s="4" t="n"/>
    </row>
    <row r="53" ht="15.75" customHeight="1">
      <c r="A53" s="184" t="n"/>
      <c r="B53" s="159" t="n"/>
      <c r="C53" s="160" t="n"/>
      <c r="D53" s="159" t="n"/>
      <c r="E53" s="160" t="n"/>
      <c r="F53" s="160" t="n"/>
      <c r="G53" s="160" t="n"/>
      <c r="H53" s="160" t="n"/>
      <c r="I53" s="160" t="n"/>
      <c r="J53" s="160" t="n"/>
      <c r="K53" s="160" t="n"/>
      <c r="L53" s="160" t="n"/>
      <c r="M53" s="160" t="n"/>
      <c r="N53" s="161" t="n"/>
      <c r="O53" s="30" t="n"/>
      <c r="P53" s="4" t="n"/>
      <c r="Q53" s="4" t="n"/>
      <c r="R53" s="4" t="n"/>
      <c r="S53" s="4" t="n"/>
      <c r="T53" s="4" t="n"/>
    </row>
    <row r="54" ht="15" customHeight="1">
      <c r="A54" s="184" t="n"/>
      <c r="B54" s="179" t="inlineStr">
        <is>
          <t>Action Plan            (Smart Goal)</t>
        </is>
      </c>
      <c r="C54" s="155" t="n"/>
      <c r="D54" s="185" t="inlineStr">
        <is>
          <t>Responsible: Randy Conyers, supported by William Harper and Michelle Baird
• Randy Conyers to conduct exit interview reviews for all separations in the last 90 days by 04/20/2026 to identify the top three drivers of turnover
• William Harper and Michelle Baird to each conduct one-on-one stay interviews with every team member on their respective shifts by 04/30/2026, documenting feedback and concerns
• Randy Conyers to develop and submit a written retention action plan to Jason Cole by 05/05/2026 addressing the root causes identified from exit and stay interviews
• Implement a 30-60-90-day check-in process for all new hires, with William Harper and Michelle Baird each owning onboarding touchpoints for their shifts
• Recognize and reward top-performing and tenured associates weekly through a visible recognition program to reinforce retention
• Measurable outcome: Reduce monthly voluntary separations by 50% over the next 60 days, targeting an annualized turnover rate below 120% by 06/30/2026</t>
        </is>
      </c>
      <c r="E54" s="155" t="n"/>
      <c r="F54" s="155" t="n"/>
      <c r="G54" s="155" t="n"/>
      <c r="H54" s="155" t="n"/>
      <c r="I54" s="155" t="n"/>
      <c r="J54" s="155" t="n"/>
      <c r="K54" s="155" t="n"/>
      <c r="L54" s="155" t="n"/>
      <c r="M54" s="155" t="n"/>
      <c r="N54" s="156" t="n"/>
      <c r="O54" s="30" t="n"/>
      <c r="P54" s="4" t="n"/>
      <c r="Q54" s="4" t="n"/>
      <c r="R54" s="4" t="n"/>
      <c r="S54" s="4" t="n"/>
      <c r="T54" s="4" t="n"/>
    </row>
    <row r="55">
      <c r="A55" s="184" t="n"/>
      <c r="B55" s="175" t="n"/>
      <c r="D55" s="175" t="n"/>
      <c r="N55" s="176" t="n"/>
      <c r="O55" s="30" t="n"/>
      <c r="P55" s="4" t="n"/>
      <c r="Q55" s="4" t="n"/>
      <c r="R55" s="4" t="n"/>
      <c r="S55" s="4" t="n"/>
      <c r="T55" s="4" t="n"/>
    </row>
    <row r="56" ht="68.25" customHeight="1" thickBot="1">
      <c r="A56" s="158" t="n"/>
      <c r="B56" s="159" t="n"/>
      <c r="C56" s="160" t="n"/>
      <c r="D56" s="159" t="n"/>
      <c r="E56" s="160" t="n"/>
      <c r="F56" s="160" t="n"/>
      <c r="G56" s="160" t="n"/>
      <c r="H56" s="160" t="n"/>
      <c r="I56" s="160" t="n"/>
      <c r="J56" s="160" t="n"/>
      <c r="K56" s="160" t="n"/>
      <c r="L56" s="160" t="n"/>
      <c r="M56" s="160" t="n"/>
      <c r="N56" s="161" t="n"/>
      <c r="O56" s="30" t="n"/>
      <c r="P56" s="4" t="n"/>
      <c r="Q56" s="4" t="n"/>
      <c r="R56" s="4" t="n"/>
      <c r="S56" s="4" t="n"/>
      <c r="T56" s="4" t="n"/>
    </row>
    <row r="57">
      <c r="A57" s="133" t="n"/>
      <c r="B57" s="133" t="n"/>
      <c r="C57" s="133" t="n"/>
      <c r="D57" s="133" t="n"/>
      <c r="E57" s="133" t="n"/>
      <c r="F57" s="133" t="n"/>
      <c r="G57" s="133" t="n"/>
      <c r="H57" s="133" t="n"/>
      <c r="I57" s="133" t="n"/>
      <c r="J57" s="133" t="n"/>
      <c r="K57" s="133" t="n"/>
      <c r="L57" s="133" t="n"/>
      <c r="M57" s="133" t="n"/>
      <c r="N57" s="133" t="n"/>
      <c r="O57" s="133" t="n"/>
    </row>
    <row r="58">
      <c r="A58" s="133" t="n"/>
      <c r="D58" s="133" t="n"/>
      <c r="E58" s="133" t="n"/>
      <c r="F58" s="133" t="n"/>
      <c r="G58" s="133" t="n"/>
      <c r="H58" s="133" t="n"/>
      <c r="I58" s="133" t="n"/>
      <c r="J58" s="133" t="n"/>
      <c r="K58" s="133" t="n"/>
      <c r="L58" s="133" t="n"/>
      <c r="M58" s="133" t="n"/>
      <c r="N58" s="133" t="n"/>
      <c r="O58" s="133" t="n"/>
    </row>
    <row r="59">
      <c r="A59" s="133" t="n"/>
      <c r="B59" s="133" t="n"/>
      <c r="C59" s="133" t="n"/>
      <c r="D59" s="133" t="n"/>
      <c r="E59" s="133" t="n"/>
      <c r="F59" s="133" t="n"/>
      <c r="G59" s="133" t="n"/>
      <c r="H59" s="133" t="n"/>
      <c r="I59" s="133" t="n"/>
      <c r="J59" s="133" t="n"/>
      <c r="K59" s="133" t="n"/>
      <c r="L59" s="133" t="n"/>
      <c r="M59" s="133" t="n"/>
      <c r="N59" s="133" t="n"/>
      <c r="O59" s="133" t="n"/>
    </row>
    <row r="60">
      <c r="A60" s="30" t="n"/>
      <c r="B60" s="30" t="n"/>
      <c r="C60" s="30" t="n"/>
      <c r="D60" s="30" t="n"/>
      <c r="E60" s="30" t="n"/>
      <c r="F60" s="30" t="n"/>
      <c r="G60" s="30" t="n"/>
      <c r="H60" s="30" t="n"/>
      <c r="I60" s="30" t="n"/>
      <c r="J60" s="30" t="n"/>
      <c r="K60" s="30" t="n"/>
      <c r="L60" s="30" t="n"/>
      <c r="M60" s="30" t="n"/>
      <c r="N60" s="30" t="n"/>
      <c r="O60" s="30" t="n"/>
      <c r="P60" s="4" t="n"/>
      <c r="Q60" s="4" t="n"/>
      <c r="R60" s="4" t="n"/>
      <c r="S60" s="4" t="n"/>
      <c r="T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row>
  </sheetData>
  <mergeCells count="93">
    <mergeCell ref="A58:C58"/>
    <mergeCell ref="K1:N1"/>
    <mergeCell ref="A46:A50"/>
    <mergeCell ref="B46:C47"/>
    <mergeCell ref="D46:N47"/>
    <mergeCell ref="B48:C50"/>
    <mergeCell ref="D48:N50"/>
    <mergeCell ref="A52:A56"/>
    <mergeCell ref="B52:C53"/>
    <mergeCell ref="D52:N53"/>
    <mergeCell ref="B54:C56"/>
    <mergeCell ref="D54:N56"/>
    <mergeCell ref="A31:N37"/>
    <mergeCell ref="A40:A44"/>
    <mergeCell ref="B40:C41"/>
    <mergeCell ref="D40:N41"/>
    <mergeCell ref="B42:C44"/>
    <mergeCell ref="D42:N44"/>
    <mergeCell ref="A27:B27"/>
    <mergeCell ref="C27:D27"/>
    <mergeCell ref="K27:L27"/>
    <mergeCell ref="A28:B28"/>
    <mergeCell ref="C28:D28"/>
    <mergeCell ref="K28:L28"/>
    <mergeCell ref="A25:B25"/>
    <mergeCell ref="C25:D25"/>
    <mergeCell ref="K25:L25"/>
    <mergeCell ref="A26:B26"/>
    <mergeCell ref="C26:D26"/>
    <mergeCell ref="K26:L26"/>
    <mergeCell ref="A23:B23"/>
    <mergeCell ref="C23:D23"/>
    <mergeCell ref="K23:L23"/>
    <mergeCell ref="A24:B24"/>
    <mergeCell ref="C24:D24"/>
    <mergeCell ref="K24:L24"/>
    <mergeCell ref="M20:M21"/>
    <mergeCell ref="A21:B21"/>
    <mergeCell ref="C21:D21"/>
    <mergeCell ref="F21:H21"/>
    <mergeCell ref="A22:B22"/>
    <mergeCell ref="C22:D22"/>
    <mergeCell ref="K22:L22"/>
    <mergeCell ref="A18:D19"/>
    <mergeCell ref="F18:H18"/>
    <mergeCell ref="K18:L18"/>
    <mergeCell ref="F19:H19"/>
    <mergeCell ref="A20:B20"/>
    <mergeCell ref="C20:D20"/>
    <mergeCell ref="F20:H20"/>
    <mergeCell ref="K20:L21"/>
    <mergeCell ref="A16:C16"/>
    <mergeCell ref="F16:H16"/>
    <mergeCell ref="K16:L16"/>
    <mergeCell ref="A17:C17"/>
    <mergeCell ref="F17:H17"/>
    <mergeCell ref="K17:L17"/>
    <mergeCell ref="M12:M13"/>
    <mergeCell ref="F13:I14"/>
    <mergeCell ref="A14:C14"/>
    <mergeCell ref="K14:L14"/>
    <mergeCell ref="A15:C15"/>
    <mergeCell ref="F15:H15"/>
    <mergeCell ref="K15:L15"/>
    <mergeCell ref="K12:L13"/>
    <mergeCell ref="A11:B11"/>
    <mergeCell ref="C11:D11"/>
    <mergeCell ref="F11:G11"/>
    <mergeCell ref="H11:I11"/>
    <mergeCell ref="A12:D13"/>
    <mergeCell ref="A9:B9"/>
    <mergeCell ref="C9:D9"/>
    <mergeCell ref="F9:G9"/>
    <mergeCell ref="H9:I9"/>
    <mergeCell ref="A10:B10"/>
    <mergeCell ref="C10:D10"/>
    <mergeCell ref="F10:G10"/>
    <mergeCell ref="H10:I10"/>
    <mergeCell ref="B5:D5"/>
    <mergeCell ref="F5:G5"/>
    <mergeCell ref="H5:I5"/>
    <mergeCell ref="A7:I7"/>
    <mergeCell ref="A8:B8"/>
    <mergeCell ref="C8:D8"/>
    <mergeCell ref="F8:G8"/>
    <mergeCell ref="H8:I8"/>
    <mergeCell ref="A2:A3"/>
    <mergeCell ref="B2:D3"/>
    <mergeCell ref="F2:I3"/>
    <mergeCell ref="K2:N3"/>
    <mergeCell ref="B4:D4"/>
    <mergeCell ref="F4:G4"/>
    <mergeCell ref="H4:I4"/>
  </mergeCells>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Dawn Corley</dc:creator>
  <dcterms:created xmlns:dcterms="http://purl.org/dc/terms/" xmlns:xsi="http://www.w3.org/2001/XMLSchema-instance" xsi:type="dcterms:W3CDTF">2024-11-15T16:32:19Z</dcterms:created>
  <dcterms:modified xmlns:dcterms="http://purl.org/dc/terms/" xmlns:xsi="http://www.w3.org/2001/XMLSchema-instance" xsi:type="dcterms:W3CDTF">2026-04-14T00:08:33Z</dcterms:modified>
</cp:coreProperties>
</file>