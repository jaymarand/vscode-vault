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70" yWindow="3615" windowWidth="21600" windowHeight="11235"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4">
    <numFmt numFmtId="164" formatCode="0.0%"/>
    <numFmt numFmtId="165" formatCode="&quot;$&quot;#,##0.00_);[Red]\(&quot;$&quot;#,##0.00\)"/>
    <numFmt numFmtId="166" formatCode="_(&quot;$&quot;* #,##0.00_);_(&quot;$&quot;* \(#,##0.00\);_(&quot;$&quot;* &quot;-&quot;??_);_(@_)"/>
    <numFmt numFmtId="167" formatCode="M/D/YYYY"/>
  </numFmts>
  <fonts count="22">
    <font>
      <name val="Aptos Narrow"/>
      <family val="2"/>
      <color theme="1"/>
      <sz val="11"/>
      <scheme val="minor"/>
    </font>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b val="1"/>
      <color theme="1"/>
      <sz val="20"/>
      <scheme val="minor"/>
    </font>
    <font>
      <name val="Aptos Narrow"/>
      <family val="2"/>
      <b val="1"/>
      <color theme="1"/>
      <sz val="16"/>
      <scheme val="minor"/>
    </font>
    <font>
      <name val="Aptos Narrow"/>
      <family val="2"/>
      <b val="1"/>
      <color theme="1"/>
      <sz val="14"/>
      <scheme val="minor"/>
    </font>
    <font>
      <name val="Aptos Narrow"/>
      <family val="2"/>
      <b val="1"/>
      <color theme="1"/>
      <sz val="9"/>
      <scheme val="minor"/>
    </font>
    <font>
      <name val="Aptos Narrow"/>
      <family val="2"/>
      <color theme="1"/>
      <sz val="9"/>
      <scheme val="minor"/>
    </font>
    <font>
      <name val="Aptos Narrow"/>
      <family val="2"/>
      <b val="1"/>
      <color rgb="FFFF0000"/>
      <sz val="11"/>
      <scheme val="minor"/>
    </font>
    <font>
      <name val="Aptos Narrow"/>
      <family val="2"/>
      <b val="1"/>
      <sz val="11"/>
      <scheme val="minor"/>
    </font>
    <font>
      <name val="Aptos Narrow"/>
      <family val="2"/>
      <b val="1"/>
      <color theme="1"/>
      <sz val="18"/>
      <scheme val="minor"/>
    </font>
    <font>
      <name val="Aptos Narrow"/>
      <family val="2"/>
      <b val="1"/>
      <color rgb="FFFF0000"/>
      <sz val="12"/>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b val="1"/>
      <color rgb="FF000000"/>
      <sz val="11"/>
      <scheme val="minor"/>
    </font>
    <font>
      <name val="Aptos Narrow"/>
      <family val="2"/>
      <b val="1"/>
      <color rgb="FFDB1DBF"/>
      <sz val="11"/>
      <scheme val="minor"/>
    </font>
    <font>
      <name val="Aptos Narrow"/>
      <family val="2"/>
      <color rgb="FF000000"/>
      <sz val="11"/>
      <scheme val="minor"/>
    </font>
    <font>
      <name val="Aptos Narrow"/>
      <family val="2"/>
      <b val="1"/>
      <color theme="1"/>
      <sz val="10"/>
      <scheme val="minor"/>
    </font>
    <font>
      <name val="Aptos Narrow"/>
      <family val="2"/>
      <sz val="11"/>
      <scheme val="minor"/>
    </font>
    <font>
      <name val="Aptos Narrow"/>
      <family val="2"/>
      <b val="1"/>
      <color theme="1"/>
      <sz val="8"/>
      <scheme val="minor"/>
    </font>
  </fonts>
  <fills count="7">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1" fillId="0" borderId="0"/>
    <xf numFmtId="9" fontId="1" fillId="0" borderId="0"/>
    <xf numFmtId="0" fontId="13" fillId="3" borderId="0"/>
    <xf numFmtId="0" fontId="14" fillId="4" borderId="0"/>
    <xf numFmtId="0" fontId="15" fillId="5" borderId="0"/>
  </cellStyleXfs>
  <cellXfs count="186">
    <xf numFmtId="0" fontId="0" fillId="0" borderId="0" pivotButton="0" quotePrefix="0" xfId="0"/>
    <xf numFmtId="0" fontId="3" fillId="0" borderId="0" applyAlignment="1" pivotButton="0" quotePrefix="0" xfId="0">
      <alignment horizontal="center" vertical="center"/>
    </xf>
    <xf numFmtId="0" fontId="7" fillId="2" borderId="9" applyAlignment="1" pivotButton="0" quotePrefix="0" xfId="0">
      <alignment horizontal="center" vertical="center" wrapText="1"/>
    </xf>
    <xf numFmtId="9" fontId="3" fillId="2" borderId="12" applyAlignment="1" pivotButton="0" quotePrefix="0" xfId="1">
      <alignment horizontal="center" vertical="center"/>
    </xf>
    <xf numFmtId="0" fontId="3" fillId="0" borderId="0" applyAlignment="1" pivotButton="0" quotePrefix="0" xfId="0">
      <alignment horizontal="left" vertical="top"/>
    </xf>
    <xf numFmtId="0" fontId="4" fillId="2" borderId="0" applyAlignment="1" pivotButton="0" quotePrefix="0" xfId="0">
      <alignment horizontal="left" vertical="center"/>
    </xf>
    <xf numFmtId="0" fontId="3" fillId="2" borderId="0" applyAlignment="1" pivotButton="0" quotePrefix="0" xfId="0">
      <alignment horizontal="center" vertical="center"/>
    </xf>
    <xf numFmtId="0" fontId="3" fillId="2" borderId="0" applyAlignment="1" pivotButton="0" quotePrefix="0" xfId="0">
      <alignment horizontal="left" vertical="center"/>
    </xf>
    <xf numFmtId="0" fontId="0" fillId="2" borderId="4" applyAlignment="1" pivotButton="0" quotePrefix="0" xfId="0">
      <alignment horizontal="center" vertical="center"/>
    </xf>
    <xf numFmtId="0" fontId="0" fillId="2" borderId="0" applyAlignment="1" pivotButton="0" quotePrefix="0" xfId="0">
      <alignment horizontal="center" vertical="center"/>
    </xf>
    <xf numFmtId="0" fontId="0" fillId="2" borderId="8" applyAlignment="1" pivotButton="0" quotePrefix="0" xfId="0">
      <alignment horizontal="center" vertical="center"/>
    </xf>
    <xf numFmtId="0" fontId="7" fillId="2" borderId="0" applyAlignment="1" pivotButton="0" quotePrefix="0" xfId="0">
      <alignment horizontal="center" vertical="center"/>
    </xf>
    <xf numFmtId="0" fontId="7" fillId="2" borderId="9" applyAlignment="1" pivotButton="0" quotePrefix="0" xfId="0">
      <alignment horizontal="center" vertical="center"/>
    </xf>
    <xf numFmtId="9" fontId="7" fillId="2" borderId="9" applyAlignment="1" pivotButton="0" quotePrefix="0" xfId="1">
      <alignment horizontal="center" vertical="center"/>
    </xf>
    <xf numFmtId="2" fontId="3" fillId="2" borderId="0" applyAlignment="1" pivotButton="0" quotePrefix="0" xfId="0">
      <alignment horizontal="center" vertical="center"/>
    </xf>
    <xf numFmtId="0" fontId="7" fillId="2" borderId="12" applyAlignment="1" pivotButton="0" quotePrefix="0" xfId="0">
      <alignment horizontal="center" vertical="center"/>
    </xf>
    <xf numFmtId="9" fontId="7" fillId="2" borderId="9" applyAlignment="1" pivotButton="0" quotePrefix="0" xfId="1">
      <alignment horizontal="center" vertical="center" wrapText="1"/>
    </xf>
    <xf numFmtId="0" fontId="7" fillId="2" borderId="0" applyAlignment="1" pivotButton="0" quotePrefix="0" xfId="0">
      <alignment horizontal="center" vertical="center" wrapText="1"/>
    </xf>
    <xf numFmtId="14" fontId="7" fillId="2" borderId="0" applyAlignment="1" pivotButton="0" quotePrefix="0" xfId="0">
      <alignment horizontal="center" vertical="center"/>
    </xf>
    <xf numFmtId="0" fontId="8" fillId="2" borderId="0" applyAlignment="1" pivotButton="0" quotePrefix="0" xfId="0">
      <alignment horizontal="center" vertical="center"/>
    </xf>
    <xf numFmtId="0" fontId="7" fillId="2" borderId="1" applyAlignment="1" pivotButton="0" quotePrefix="0" xfId="0">
      <alignment horizontal="center" vertical="center"/>
    </xf>
    <xf numFmtId="0" fontId="3" fillId="2" borderId="9" applyAlignment="1" pivotButton="0" quotePrefix="0" xfId="0">
      <alignment horizontal="center" vertical="center"/>
    </xf>
    <xf numFmtId="164" fontId="3" fillId="2" borderId="9" applyAlignment="1" pivotButton="0" quotePrefix="0" xfId="1">
      <alignment horizontal="center" vertical="center"/>
    </xf>
    <xf numFmtId="9" fontId="10" fillId="2" borderId="9" applyAlignment="1" pivotButton="0" quotePrefix="0" xfId="1">
      <alignment horizontal="center" vertical="center"/>
    </xf>
    <xf numFmtId="164" fontId="3" fillId="2" borderId="0" applyAlignment="1" pivotButton="0" quotePrefix="0" xfId="1">
      <alignment horizontal="center" vertical="center"/>
    </xf>
    <xf numFmtId="164" fontId="3" fillId="2" borderId="4" applyAlignment="1" pivotButton="0" quotePrefix="0" xfId="1">
      <alignment horizontal="center" vertical="center"/>
    </xf>
    <xf numFmtId="0" fontId="0" fillId="2" borderId="0" pivotButton="0" quotePrefix="0" xfId="0"/>
    <xf numFmtId="0" fontId="8" fillId="2" borderId="9" applyAlignment="1" pivotButton="0" quotePrefix="0" xfId="0">
      <alignment horizontal="center" vertical="center"/>
    </xf>
    <xf numFmtId="0" fontId="8" fillId="2" borderId="4" applyAlignment="1" pivotButton="0" quotePrefix="0" xfId="0">
      <alignment horizontal="center" vertical="center"/>
    </xf>
    <xf numFmtId="0" fontId="0" fillId="2" borderId="0" applyAlignment="1" pivotButton="0" quotePrefix="0" xfId="0">
      <alignment horizontal="center"/>
    </xf>
    <xf numFmtId="0" fontId="3" fillId="2" borderId="0" applyAlignment="1" pivotButton="0" quotePrefix="0" xfId="0">
      <alignment horizontal="left" vertical="top"/>
    </xf>
    <xf numFmtId="0" fontId="17" fillId="2" borderId="0" applyAlignment="1" pivotButton="0" quotePrefix="0" xfId="0">
      <alignment horizontal="center" vertical="center"/>
    </xf>
    <xf numFmtId="0" fontId="6" fillId="2" borderId="0" applyAlignment="1" pivotButton="0" quotePrefix="0" xfId="0">
      <alignment horizontal="left" vertical="center"/>
    </xf>
    <xf numFmtId="0" fontId="19" fillId="2" borderId="0" applyAlignment="1" pivotButton="0" quotePrefix="0" xfId="0">
      <alignment horizontal="center" vertical="center"/>
    </xf>
    <xf numFmtId="0" fontId="0" fillId="2" borderId="9" applyAlignment="1" pivotButton="0" quotePrefix="0" xfId="3">
      <alignment horizontal="center" vertical="center"/>
    </xf>
    <xf numFmtId="9" fontId="14" fillId="4" borderId="9" applyAlignment="1" pivotButton="0" quotePrefix="0" xfId="3">
      <alignment horizontal="center" vertical="center"/>
    </xf>
    <xf numFmtId="0" fontId="21" fillId="6" borderId="9" applyAlignment="1" pivotButton="0" quotePrefix="0" xfId="0">
      <alignment horizontal="left" vertical="top" wrapText="1"/>
    </xf>
    <xf numFmtId="0" fontId="3" fillId="6" borderId="9" applyAlignment="1" pivotButton="0" quotePrefix="0" xfId="0">
      <alignment horizontal="center" vertical="center"/>
    </xf>
    <xf numFmtId="0" fontId="3" fillId="6" borderId="1" applyAlignment="1" pivotButton="0" quotePrefix="0" xfId="0">
      <alignment horizontal="center" vertical="center"/>
    </xf>
    <xf numFmtId="9" fontId="14" fillId="4" borderId="9" applyAlignment="1" pivotButton="0" quotePrefix="0" xfId="3">
      <alignment horizontal="center" vertical="center" wrapText="1"/>
    </xf>
    <xf numFmtId="0" fontId="0" fillId="6" borderId="9" applyAlignment="1" pivotButton="0" quotePrefix="0" xfId="0">
      <alignment horizontal="center" vertical="center"/>
    </xf>
    <xf numFmtId="0" fontId="7" fillId="6" borderId="9" applyAlignment="1" pivotButton="0" quotePrefix="0" xfId="0">
      <alignment horizontal="center" vertical="center"/>
    </xf>
    <xf numFmtId="0" fontId="8" fillId="6" borderId="12" applyAlignment="1" pivotButton="0" quotePrefix="0" xfId="0">
      <alignment horizontal="center" vertical="center"/>
    </xf>
    <xf numFmtId="0" fontId="7" fillId="6" borderId="12" applyAlignment="1" pivotButton="0" quotePrefix="0" xfId="0">
      <alignment horizontal="center" vertical="center"/>
    </xf>
    <xf numFmtId="0" fontId="5" fillId="2" borderId="1" applyAlignment="1" pivotButton="0" quotePrefix="0" xfId="0">
      <alignment horizontal="center" vertical="center"/>
    </xf>
    <xf numFmtId="0" fontId="5" fillId="2" borderId="5" applyAlignment="1" pivotButton="0" quotePrefix="0" xfId="0">
      <alignment horizontal="center" vertical="center"/>
    </xf>
    <xf numFmtId="0" fontId="6"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3" fillId="2" borderId="6" applyAlignment="1" pivotButton="0" quotePrefix="0" xfId="0">
      <alignment horizontal="center" vertical="center"/>
    </xf>
    <xf numFmtId="0" fontId="3" fillId="2" borderId="7" applyAlignment="1" pivotButton="0" quotePrefix="0" xfId="0">
      <alignment horizontal="center" vertical="center"/>
    </xf>
    <xf numFmtId="0" fontId="3" fillId="2" borderId="8" applyAlignment="1" pivotButton="0" quotePrefix="0" xfId="0">
      <alignment horizontal="center" vertical="center"/>
    </xf>
    <xf numFmtId="0" fontId="3" fillId="2" borderId="2" applyAlignment="1" pivotButton="0" quotePrefix="0" xfId="0">
      <alignment horizontal="center" vertical="center"/>
    </xf>
    <xf numFmtId="0" fontId="0" fillId="2" borderId="4" applyAlignment="1" pivotButton="0" quotePrefix="0" xfId="0">
      <alignment horizontal="center" vertical="center"/>
    </xf>
    <xf numFmtId="0" fontId="0" fillId="2" borderId="8" applyAlignment="1" pivotButton="0" quotePrefix="0" xfId="0">
      <alignment horizontal="center" vertical="center"/>
    </xf>
    <xf numFmtId="0" fontId="3" fillId="2" borderId="2" applyAlignment="1" pivotButton="0" quotePrefix="0" xfId="0">
      <alignment horizontal="center" vertical="center" wrapText="1"/>
    </xf>
    <xf numFmtId="0" fontId="0" fillId="2" borderId="3" applyAlignment="1" pivotButton="0" quotePrefix="0" xfId="0">
      <alignment horizontal="center" vertical="center" wrapText="1"/>
    </xf>
    <xf numFmtId="0" fontId="0" fillId="2" borderId="4"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7" applyAlignment="1" pivotButton="0" quotePrefix="0" xfId="0">
      <alignment horizontal="center" vertical="center" wrapText="1"/>
    </xf>
    <xf numFmtId="0" fontId="0" fillId="2" borderId="8" applyAlignment="1" pivotButton="0" quotePrefix="0" xfId="0">
      <alignment horizontal="center" vertical="center" wrapText="1"/>
    </xf>
    <xf numFmtId="14" fontId="9" fillId="2" borderId="10" applyAlignment="1" pivotButton="0" quotePrefix="0" xfId="0">
      <alignment horizontal="center" vertical="center"/>
    </xf>
    <xf numFmtId="14" fontId="9" fillId="2" borderId="11" applyAlignment="1" pivotButton="0" quotePrefix="0" xfId="0">
      <alignment horizontal="center" vertical="center"/>
    </xf>
    <xf numFmtId="14" fontId="9" fillId="2" borderId="12" applyAlignment="1" pivotButton="0" quotePrefix="0" xfId="0">
      <alignment horizontal="center" vertical="center"/>
    </xf>
    <xf numFmtId="0" fontId="7" fillId="2" borderId="6" applyAlignment="1" pivotButton="0" quotePrefix="0" xfId="0">
      <alignment horizontal="center" vertical="center"/>
    </xf>
    <xf numFmtId="0" fontId="7" fillId="2" borderId="8" applyAlignment="1" pivotButton="0" quotePrefix="0" xfId="0">
      <alignment horizontal="center" vertical="center"/>
    </xf>
    <xf numFmtId="0" fontId="3" fillId="2" borderId="10" applyAlignment="1" pivotButton="0" quotePrefix="0" xfId="0">
      <alignment horizontal="center" vertical="center"/>
    </xf>
    <xf numFmtId="0" fontId="0" fillId="2" borderId="12" applyAlignment="1" pivotButton="0" quotePrefix="0" xfId="0">
      <alignment horizontal="center" vertical="center"/>
    </xf>
    <xf numFmtId="14" fontId="7" fillId="2" borderId="10" applyAlignment="1" pivotButton="0" quotePrefix="0" xfId="0">
      <alignment horizontal="center" vertical="center"/>
    </xf>
    <xf numFmtId="0" fontId="8" fillId="2" borderId="11" applyAlignment="1" pivotButton="0" quotePrefix="0" xfId="0">
      <alignment horizontal="center" vertical="center"/>
    </xf>
    <xf numFmtId="0" fontId="8" fillId="2" borderId="12" applyAlignment="1" pivotButton="0" quotePrefix="0" xfId="0">
      <alignment horizontal="center" vertical="center"/>
    </xf>
    <xf numFmtId="0" fontId="7" fillId="2" borderId="10" applyAlignment="1" pivotButton="0" quotePrefix="0" xfId="0">
      <alignment horizontal="center" vertical="center"/>
    </xf>
    <xf numFmtId="0" fontId="7" fillId="2" borderId="12" applyAlignment="1" pivotButton="0" quotePrefix="0" xfId="0">
      <alignment horizontal="center" vertical="center"/>
    </xf>
    <xf numFmtId="0" fontId="16" fillId="2" borderId="2" applyAlignment="1" pivotButton="0" quotePrefix="0" xfId="0">
      <alignment horizontal="center" vertical="center" wrapText="1"/>
    </xf>
    <xf numFmtId="0" fontId="0" fillId="2" borderId="11" applyAlignment="1" pivotButton="0" quotePrefix="0" xfId="0">
      <alignment horizontal="center" vertical="center" wrapText="1"/>
    </xf>
    <xf numFmtId="0" fontId="7" fillId="2" borderId="10" applyAlignment="1" pivotButton="0" quotePrefix="0" xfId="0">
      <alignment horizontal="center" vertical="center" wrapText="1"/>
    </xf>
    <xf numFmtId="0" fontId="8" fillId="2" borderId="12" applyAlignment="1" pivotButton="0" quotePrefix="0" xfId="0">
      <alignment horizontal="center" vertical="center" wrapText="1"/>
    </xf>
    <xf numFmtId="9" fontId="13" fillId="3" borderId="10" applyAlignment="1" pivotButton="0" quotePrefix="0" xfId="2">
      <alignment horizontal="center" vertical="center" wrapText="1"/>
    </xf>
    <xf numFmtId="9" fontId="13" fillId="3" borderId="12" applyAlignment="1" pivotButton="0" quotePrefix="0" xfId="2">
      <alignment horizontal="center" vertical="center" wrapText="1"/>
    </xf>
    <xf numFmtId="0" fontId="0" fillId="2" borderId="12" applyAlignment="1" pivotButton="0" quotePrefix="0" xfId="0">
      <alignment horizontal="center" vertical="center" wrapText="1"/>
    </xf>
    <xf numFmtId="165" fontId="13" fillId="3" borderId="10" applyAlignment="1" pivotButton="0" quotePrefix="0" xfId="2">
      <alignment horizontal="center" vertical="center" wrapText="1"/>
    </xf>
    <xf numFmtId="166" fontId="13" fillId="3" borderId="12" applyAlignment="1" pivotButton="0" quotePrefix="0" xfId="2">
      <alignment horizontal="center" vertical="center" wrapText="1"/>
    </xf>
    <xf numFmtId="10" fontId="0" fillId="2" borderId="10" applyAlignment="1" pivotButton="0" quotePrefix="0" xfId="3">
      <alignment horizontal="center" vertical="center" wrapText="1"/>
    </xf>
    <xf numFmtId="10" fontId="0" fillId="2" borderId="12" applyAlignment="1" pivotButton="0" quotePrefix="0" xfId="3">
      <alignment horizontal="center" vertical="center" wrapText="1"/>
    </xf>
    <xf numFmtId="9" fontId="18" fillId="2" borderId="10" applyAlignment="1" pivotButton="0" quotePrefix="0" xfId="3">
      <alignment horizontal="center" vertical="center"/>
    </xf>
    <xf numFmtId="9" fontId="18" fillId="2" borderId="12" applyAlignment="1" pivotButton="0" quotePrefix="0" xfId="3">
      <alignment horizontal="center" vertical="center"/>
    </xf>
    <xf numFmtId="9" fontId="0" fillId="2" borderId="10" applyAlignment="1" pivotButton="0" quotePrefix="0" xfId="3">
      <alignment horizontal="center" vertical="center" wrapText="1"/>
    </xf>
    <xf numFmtId="9" fontId="0" fillId="2" borderId="12" applyAlignment="1" pivotButton="0" quotePrefix="0" xfId="3">
      <alignment horizontal="center" vertical="center" wrapText="1"/>
    </xf>
    <xf numFmtId="9" fontId="16" fillId="2" borderId="10" applyAlignment="1" pivotButton="0" quotePrefix="0" xfId="4">
      <alignment horizontal="center" vertical="center"/>
    </xf>
    <xf numFmtId="9" fontId="16" fillId="2" borderId="12" applyAlignment="1" pivotButton="0" quotePrefix="0" xfId="4">
      <alignment horizontal="center" vertical="center"/>
    </xf>
    <xf numFmtId="0" fontId="9" fillId="2" borderId="10" applyAlignment="1" pivotButton="0" quotePrefix="0" xfId="0">
      <alignment horizontal="center" vertical="center" wrapText="1"/>
    </xf>
    <xf numFmtId="0" fontId="2" fillId="2" borderId="12" applyAlignment="1" pivotButton="0" quotePrefix="0" xfId="0">
      <alignment horizontal="center" vertical="center" wrapText="1"/>
    </xf>
    <xf numFmtId="0" fontId="0" fillId="2" borderId="3" applyAlignment="1" pivotButton="0" quotePrefix="0" xfId="0">
      <alignment horizontal="center" wrapText="1"/>
    </xf>
    <xf numFmtId="0" fontId="0" fillId="2" borderId="4" applyAlignment="1" pivotButton="0" quotePrefix="0" xfId="0">
      <alignment horizontal="center" wrapText="1"/>
    </xf>
    <xf numFmtId="0" fontId="0" fillId="2" borderId="13" applyAlignment="1" pivotButton="0" quotePrefix="0" xfId="0">
      <alignment horizontal="center" wrapText="1"/>
    </xf>
    <xf numFmtId="0" fontId="0" fillId="2" borderId="0" applyAlignment="1" pivotButton="0" quotePrefix="0" xfId="0">
      <alignment horizontal="center" wrapText="1"/>
    </xf>
    <xf numFmtId="0" fontId="0" fillId="2" borderId="14" applyAlignment="1" pivotButton="0" quotePrefix="0" xfId="0">
      <alignment horizontal="center" wrapText="1"/>
    </xf>
    <xf numFmtId="0" fontId="9" fillId="2" borderId="3" applyAlignment="1" pivotButton="0" quotePrefix="0" xfId="0">
      <alignment horizontal="center" vertical="center" wrapText="1"/>
    </xf>
    <xf numFmtId="0" fontId="9" fillId="2" borderId="7" applyAlignment="1" pivotButton="0" quotePrefix="0" xfId="0">
      <alignment horizontal="center" vertical="center" wrapText="1"/>
    </xf>
    <xf numFmtId="0" fontId="0" fillId="2" borderId="11" applyAlignment="1" pivotButton="0" quotePrefix="0" xfId="0">
      <alignment horizontal="center" vertical="center"/>
    </xf>
    <xf numFmtId="0" fontId="0" fillId="2" borderId="3" applyAlignment="1" pivotButton="0" quotePrefix="0" xfId="0">
      <alignment horizontal="center" vertical="center"/>
    </xf>
    <xf numFmtId="0" fontId="0" fillId="2" borderId="6" applyAlignment="1" pivotButton="0" quotePrefix="0" xfId="0">
      <alignment horizontal="center" vertical="center"/>
    </xf>
    <xf numFmtId="0" fontId="0" fillId="2" borderId="7" applyAlignment="1" pivotButton="0" quotePrefix="0" xfId="0">
      <alignment horizontal="center" vertical="center"/>
    </xf>
    <xf numFmtId="0" fontId="0" fillId="2" borderId="3" applyAlignment="1" pivotButton="0" quotePrefix="0" xfId="0">
      <alignment wrapText="1"/>
    </xf>
    <xf numFmtId="0" fontId="0" fillId="2" borderId="4" applyAlignment="1" pivotButton="0" quotePrefix="0" xfId="0">
      <alignment wrapText="1"/>
    </xf>
    <xf numFmtId="0" fontId="0" fillId="2" borderId="6" applyAlignment="1" pivotButton="0" quotePrefix="0" xfId="0">
      <alignment wrapText="1"/>
    </xf>
    <xf numFmtId="0" fontId="0" fillId="2" borderId="7" applyAlignment="1" pivotButton="0" quotePrefix="0" xfId="0">
      <alignment wrapText="1"/>
    </xf>
    <xf numFmtId="0" fontId="0" fillId="2" borderId="8" applyAlignment="1" pivotButton="0" quotePrefix="0" xfId="0">
      <alignment wrapText="1"/>
    </xf>
    <xf numFmtId="0" fontId="3" fillId="2" borderId="10" applyAlignment="1" pivotButton="0" quotePrefix="0" xfId="0">
      <alignment horizontal="center" vertical="top"/>
    </xf>
    <xf numFmtId="0" fontId="0" fillId="2" borderId="12" applyAlignment="1" pivotButton="0" quotePrefix="0" xfId="0">
      <alignment horizontal="center" vertical="top"/>
    </xf>
    <xf numFmtId="0" fontId="3" fillId="6" borderId="10" applyAlignment="1" pivotButton="0" quotePrefix="0" xfId="0">
      <alignment horizontal="center" vertical="top"/>
    </xf>
    <xf numFmtId="0" fontId="0" fillId="6" borderId="12" applyAlignment="1" pivotButton="0" quotePrefix="0" xfId="0">
      <alignment horizontal="center" vertical="top"/>
    </xf>
    <xf numFmtId="0" fontId="7" fillId="2" borderId="11" applyAlignment="1" pivotButton="0" quotePrefix="0" xfId="0">
      <alignment horizontal="center" vertical="center"/>
    </xf>
    <xf numFmtId="0" fontId="3" fillId="2" borderId="3" applyAlignment="1" pivotButton="0" quotePrefix="0" xfId="0">
      <alignment horizontal="center" vertical="center" wrapText="1"/>
    </xf>
    <xf numFmtId="0" fontId="3" fillId="2" borderId="6" applyAlignment="1" pivotButton="0" quotePrefix="0" xfId="0">
      <alignment horizontal="center" vertical="center" wrapText="1"/>
    </xf>
    <xf numFmtId="0" fontId="3" fillId="2" borderId="7" applyAlignment="1" pivotButton="0" quotePrefix="0" xfId="0">
      <alignment horizontal="center" vertical="center" wrapText="1"/>
    </xf>
    <xf numFmtId="0" fontId="7" fillId="2" borderId="2" applyAlignment="1" pivotButton="0" quotePrefix="0" xfId="0">
      <alignment horizontal="center" vertical="center"/>
    </xf>
    <xf numFmtId="0" fontId="7" fillId="2" borderId="3" applyAlignment="1" pivotButton="0" quotePrefix="0" xfId="0">
      <alignment horizontal="center" vertical="center"/>
    </xf>
    <xf numFmtId="0" fontId="3" fillId="6" borderId="2" applyAlignment="1" pivotButton="0" quotePrefix="0" xfId="0">
      <alignment horizontal="center" vertical="center"/>
    </xf>
    <xf numFmtId="0" fontId="0" fillId="6" borderId="4" applyAlignment="1" pivotButton="0" quotePrefix="0" xfId="0">
      <alignment horizontal="center" vertical="center"/>
    </xf>
    <xf numFmtId="0" fontId="3" fillId="6" borderId="10" applyAlignment="1" pivotButton="0" quotePrefix="0" xfId="0">
      <alignment horizontal="center" vertical="center"/>
    </xf>
    <xf numFmtId="0" fontId="0" fillId="6" borderId="12" applyAlignment="1" pivotButton="0" quotePrefix="0" xfId="0">
      <alignment horizontal="center" vertical="center"/>
    </xf>
    <xf numFmtId="0" fontId="3" fillId="2" borderId="13"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2" applyAlignment="1" pivotButton="0" quotePrefix="0" xfId="0">
      <alignment horizontal="left" vertical="top" wrapText="1"/>
    </xf>
    <xf numFmtId="0" fontId="0" fillId="2" borderId="3" applyAlignment="1" pivotButton="0" quotePrefix="0" xfId="0">
      <alignment horizontal="left" vertical="top" wrapText="1"/>
    </xf>
    <xf numFmtId="0" fontId="0" fillId="2" borderId="4"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3" fillId="2" borderId="0" applyAlignment="1" pivotButton="0" quotePrefix="0" xfId="0">
      <alignment horizontal="center" vertical="center"/>
    </xf>
    <xf numFmtId="0" fontId="3" fillId="2" borderId="10" applyAlignment="1" pivotButton="0" quotePrefix="0" xfId="0">
      <alignment horizontal="left" vertical="center"/>
    </xf>
    <xf numFmtId="0" fontId="3" fillId="2" borderId="11" applyAlignment="1" pivotButton="0" quotePrefix="0" xfId="0">
      <alignment horizontal="left" vertical="center"/>
    </xf>
    <xf numFmtId="0" fontId="3" fillId="2" borderId="12" applyAlignment="1" pivotButton="0" quotePrefix="0" xfId="0">
      <alignment horizontal="left" vertical="center"/>
    </xf>
    <xf numFmtId="0" fontId="11" fillId="2" borderId="1" applyAlignment="1" pivotButton="0" quotePrefix="0" xfId="0">
      <alignment horizontal="center" vertical="center"/>
    </xf>
    <xf numFmtId="0" fontId="11" fillId="2" borderId="15" applyAlignment="1" pivotButton="0" quotePrefix="0" xfId="0">
      <alignment horizontal="center" vertical="center"/>
    </xf>
    <xf numFmtId="0" fontId="11" fillId="2" borderId="5" applyAlignment="1" pivotButton="0" quotePrefix="0" xfId="0">
      <alignment horizontal="center" vertical="center"/>
    </xf>
    <xf numFmtId="0" fontId="12" fillId="2" borderId="2" applyAlignment="1" pivotButton="0" quotePrefix="0" xfId="0">
      <alignment horizontal="left" vertical="top" wrapText="1"/>
    </xf>
    <xf numFmtId="0" fontId="10" fillId="2" borderId="2" applyAlignment="1" pivotButton="0" quotePrefix="0" xfId="0">
      <alignment horizontal="left" vertical="top" wrapText="1"/>
    </xf>
    <xf numFmtId="0" fontId="20" fillId="2" borderId="3" applyAlignment="1" pivotButton="0" quotePrefix="0" xfId="0">
      <alignment horizontal="left" vertical="top" wrapText="1"/>
    </xf>
    <xf numFmtId="0" fontId="20" fillId="2" borderId="4" applyAlignment="1" pivotButton="0" quotePrefix="0" xfId="0">
      <alignment horizontal="left" vertical="top" wrapText="1"/>
    </xf>
    <xf numFmtId="0" fontId="20" fillId="2" borderId="13" applyAlignment="1" pivotButton="0" quotePrefix="0" xfId="0">
      <alignment horizontal="left" vertical="top" wrapText="1"/>
    </xf>
    <xf numFmtId="0" fontId="20" fillId="2" borderId="0" applyAlignment="1" pivotButton="0" quotePrefix="0" xfId="0">
      <alignment horizontal="left" vertical="top" wrapText="1"/>
    </xf>
    <xf numFmtId="0" fontId="20" fillId="2" borderId="14" applyAlignment="1" pivotButton="0" quotePrefix="0" xfId="0">
      <alignment horizontal="left" vertical="top" wrapText="1"/>
    </xf>
    <xf numFmtId="0" fontId="20" fillId="2" borderId="6" applyAlignment="1" pivotButton="0" quotePrefix="0" xfId="0">
      <alignment horizontal="left" vertical="top" wrapText="1"/>
    </xf>
    <xf numFmtId="0" fontId="20" fillId="2" borderId="7" applyAlignment="1" pivotButton="0" quotePrefix="0" xfId="0">
      <alignment horizontal="left" vertical="top" wrapText="1"/>
    </xf>
    <xf numFmtId="0" fontId="20" fillId="2" borderId="8" applyAlignment="1" pivotButton="0" quotePrefix="0" xfId="0">
      <alignment horizontal="left" vertical="top" wrapText="1"/>
    </xf>
    <xf numFmtId="0" fontId="3" fillId="2" borderId="9" applyAlignment="1" pivotButton="0" quotePrefix="0" xfId="0">
      <alignment horizontal="left" vertical="center"/>
    </xf>
    <xf numFmtId="0" fontId="0" fillId="0" borderId="11" pivotButton="0" quotePrefix="0" xfId="0"/>
    <xf numFmtId="0" fontId="0" fillId="0" borderId="12" pivotButton="0" quotePrefix="0" xfId="0"/>
    <xf numFmtId="0" fontId="5" fillId="2" borderId="9" applyAlignment="1" pivotButton="0" quotePrefix="0" xfId="0">
      <alignment horizontal="center" vertical="center"/>
    </xf>
    <xf numFmtId="0" fontId="6" fillId="2" borderId="9" applyAlignment="1" pivotButton="0" quotePrefix="0" xfId="0">
      <alignment horizontal="center" vertical="center"/>
    </xf>
    <xf numFmtId="0" fontId="0" fillId="0" borderId="3" pivotButton="0" quotePrefix="0" xfId="0"/>
    <xf numFmtId="0" fontId="0" fillId="0" borderId="4" pivotButton="0" quotePrefix="0" xfId="0"/>
    <xf numFmtId="0" fontId="3" fillId="2" borderId="9"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7" fontId="9" fillId="2" borderId="9" applyAlignment="1" pivotButton="0" quotePrefix="0" xfId="0">
      <alignment horizontal="center" vertical="center"/>
    </xf>
    <xf numFmtId="0" fontId="7" fillId="2" borderId="5" applyAlignment="1" pivotButton="0" quotePrefix="0" xfId="0">
      <alignment horizontal="center" vertical="center"/>
    </xf>
    <xf numFmtId="167" fontId="7" fillId="2" borderId="9" applyAlignment="1" pivotButton="0" quotePrefix="0" xfId="0">
      <alignment horizontal="center" vertical="center"/>
    </xf>
    <xf numFmtId="0" fontId="16" fillId="2" borderId="1" applyAlignment="1" pivotButton="0" quotePrefix="0" xfId="0">
      <alignment horizontal="center" vertical="center" wrapText="1"/>
    </xf>
    <xf numFmtId="9" fontId="13" fillId="3" borderId="9" applyAlignment="1" pivotButton="0" quotePrefix="0" xfId="2">
      <alignment horizontal="center" vertical="center" wrapText="1"/>
    </xf>
    <xf numFmtId="165" fontId="13" fillId="3" borderId="9" applyAlignment="1" pivotButton="0" quotePrefix="0" xfId="2">
      <alignment horizontal="center" vertical="center" wrapText="1"/>
    </xf>
    <xf numFmtId="10" fontId="0" fillId="2" borderId="9" applyAlignment="1" pivotButton="0" quotePrefix="0" xfId="3">
      <alignment horizontal="center" vertical="center" wrapText="1"/>
    </xf>
    <xf numFmtId="9" fontId="18" fillId="2" borderId="9" applyAlignment="1" pivotButton="0" quotePrefix="0" xfId="3">
      <alignment horizontal="center" vertical="center"/>
    </xf>
    <xf numFmtId="9" fontId="0" fillId="2" borderId="9" applyAlignment="1" pivotButton="0" quotePrefix="0" xfId="3">
      <alignment horizontal="center" vertical="center" wrapText="1"/>
    </xf>
    <xf numFmtId="9" fontId="16" fillId="2" borderId="9" applyAlignment="1" pivotButton="0" quotePrefix="0" xfId="4">
      <alignment horizontal="center" vertical="center"/>
    </xf>
    <xf numFmtId="0" fontId="9" fillId="2" borderId="9" applyAlignment="1" pivotButton="0" quotePrefix="0" xfId="0">
      <alignment horizontal="center" vertical="center" wrapText="1"/>
    </xf>
    <xf numFmtId="0" fontId="3" fillId="2" borderId="1" applyAlignment="1" pivotButton="0" quotePrefix="0" xfId="0">
      <alignment horizontal="center" vertical="center" wrapText="1"/>
    </xf>
    <xf numFmtId="0" fontId="9" fillId="2" borderId="11" applyAlignment="1" pivotButton="0" quotePrefix="0" xfId="0">
      <alignment horizontal="center" vertical="center" wrapText="1"/>
    </xf>
    <xf numFmtId="0" fontId="0" fillId="0" borderId="13" pivotButton="0" quotePrefix="0" xfId="0"/>
    <xf numFmtId="0" fontId="0" fillId="0" borderId="14" pivotButton="0" quotePrefix="0" xfId="0"/>
    <xf numFmtId="0" fontId="3" fillId="2" borderId="9" applyAlignment="1" pivotButton="0" quotePrefix="0" xfId="0">
      <alignment horizontal="center" vertical="top"/>
    </xf>
    <xf numFmtId="0" fontId="3" fillId="6" borderId="9" applyAlignment="1" pivotButton="0" quotePrefix="0" xfId="0">
      <alignment horizontal="center" vertical="top"/>
    </xf>
    <xf numFmtId="0" fontId="3" fillId="2" borderId="10" applyAlignment="1" pivotButton="0" quotePrefix="0" xfId="0">
      <alignment horizontal="center" vertical="center" wrapText="1"/>
    </xf>
    <xf numFmtId="0" fontId="3" fillId="2" borderId="1" applyAlignment="1" pivotButton="0" quotePrefix="0" xfId="0">
      <alignment horizontal="center" vertical="center"/>
    </xf>
    <xf numFmtId="0" fontId="10" fillId="2" borderId="9" applyAlignment="1" pivotButton="0" quotePrefix="0" xfId="0">
      <alignment horizontal="left" vertical="top" wrapText="1"/>
    </xf>
    <xf numFmtId="0" fontId="11" fillId="2" borderId="9" applyAlignment="1" pivotButton="0" quotePrefix="0" xfId="0">
      <alignment horizontal="center" vertical="center"/>
    </xf>
    <xf numFmtId="0" fontId="12" fillId="2" borderId="9" applyAlignment="1" pivotButton="0" quotePrefix="0" xfId="0">
      <alignment horizontal="left" vertical="top" wrapText="1"/>
    </xf>
    <xf numFmtId="0" fontId="0" fillId="0" borderId="15" pivotButton="0" quotePrefix="0" xfId="0"/>
    <xf numFmtId="0" fontId="3" fillId="2" borderId="9" applyAlignment="1" pivotButton="0" quotePrefix="0" xfId="0">
      <alignment horizontal="left" vertical="top" wrapText="1"/>
    </xf>
  </cellXfs>
  <cellStyles count="5">
    <cellStyle name="Normal" xfId="0" builtinId="0"/>
    <cellStyle name="Percent" xfId="1" builtinId="5"/>
    <cellStyle name="Good" xfId="2" builtinId="26"/>
    <cellStyle name="Bad" xfId="3" builtinId="27"/>
    <cellStyle name="Neutral" xfId="4" builtinId="2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68"/>
  <sheetViews>
    <sheetView tabSelected="1" topLeftCell="A45" workbookViewId="0">
      <selection activeCell="O53" sqref="O53"/>
    </sheetView>
  </sheetViews>
  <sheetFormatPr baseColWidth="8" defaultColWidth="9.140625" defaultRowHeight="15"/>
  <cols>
    <col width="12" customWidth="1" style="1" min="1" max="1"/>
    <col width="9.140625" customWidth="1" style="1" min="2" max="3"/>
    <col width="20" customWidth="1" style="1" min="4" max="4"/>
    <col width="4.7109375" customWidth="1" style="1" min="5" max="5"/>
    <col width="10.28515625" customWidth="1" style="1" min="6" max="6"/>
    <col width="10" customWidth="1" style="1" min="7" max="7"/>
    <col width="9.140625" customWidth="1" style="1" min="8" max="8"/>
    <col width="9.85546875" customWidth="1" style="1" min="9" max="9"/>
    <col width="4.7109375" customWidth="1" style="1" min="10" max="10"/>
    <col width="23" customWidth="1" style="1" min="11" max="11"/>
    <col width="18.85546875" customWidth="1" style="1" min="12" max="12"/>
    <col width="25.140625" customWidth="1" style="1" min="13" max="13"/>
    <col width="18.28515625" customWidth="1" style="1" min="14" max="14"/>
    <col width="17.140625" customWidth="1" style="1" min="15" max="15"/>
    <col width="9.140625" customWidth="1" style="1" min="16" max="16"/>
    <col width="9.5703125" customWidth="1" style="1" min="17" max="17"/>
    <col width="10" customWidth="1" style="1" min="18" max="18"/>
    <col width="10.28515625" customWidth="1" style="1" min="19" max="19"/>
    <col width="12" customWidth="1" style="1" min="20" max="20"/>
    <col width="9.140625" customWidth="1" style="1" min="21" max="16384"/>
  </cols>
  <sheetData>
    <row r="1" ht="28.5" customHeight="1" thickBot="1">
      <c r="A1" s="5" t="inlineStr">
        <is>
          <t>STORE REVIEW</t>
        </is>
      </c>
      <c r="B1" s="133" t="n"/>
      <c r="C1" s="133" t="n"/>
      <c r="D1" s="133" t="n"/>
      <c r="E1" s="133" t="inlineStr">
        <is>
          <t xml:space="preserve"> </t>
        </is>
      </c>
      <c r="F1" s="7" t="inlineStr">
        <is>
          <t xml:space="preserve"> </t>
        </is>
      </c>
      <c r="G1" s="133" t="inlineStr">
        <is>
          <t xml:space="preserve"> </t>
        </is>
      </c>
      <c r="H1" s="133" t="n"/>
      <c r="I1" s="133" t="n"/>
      <c r="J1" s="133" t="n"/>
      <c r="K1" s="150" t="inlineStr">
        <is>
          <t>Evaluation Completed by: Jason Cole</t>
        </is>
      </c>
      <c r="L1" s="151" t="n"/>
      <c r="M1" s="151" t="n"/>
      <c r="N1" s="152" t="n"/>
      <c r="O1" s="133" t="n"/>
    </row>
    <row r="2" ht="21.75" customHeight="1">
      <c r="A2" s="153" t="inlineStr">
        <is>
          <t xml:space="preserve">Store </t>
        </is>
      </c>
      <c r="B2" s="154" t="inlineStr">
        <is>
          <t>Beechmont</t>
        </is>
      </c>
      <c r="C2" s="155" t="n"/>
      <c r="D2" s="156" t="n"/>
      <c r="E2" s="133" t="n"/>
      <c r="F2" s="21" t="inlineStr">
        <is>
          <t>Training</t>
        </is>
      </c>
      <c r="G2" s="155" t="n"/>
      <c r="H2" s="155" t="n"/>
      <c r="I2" s="156" t="n"/>
      <c r="J2" s="133" t="n"/>
      <c r="K2" s="157" t="n">
        <v>0</v>
      </c>
      <c r="L2" s="155" t="n"/>
      <c r="M2" s="155" t="n"/>
      <c r="N2" s="156" t="n"/>
      <c r="O2" s="9" t="n"/>
    </row>
    <row r="3" ht="23.25" customHeight="1" thickBot="1">
      <c r="A3" s="158" t="n"/>
      <c r="B3" s="159" t="n"/>
      <c r="C3" s="160" t="n"/>
      <c r="D3" s="161" t="n"/>
      <c r="E3" s="133" t="n"/>
      <c r="F3" s="159" t="n"/>
      <c r="G3" s="160" t="n"/>
      <c r="H3" s="160" t="n"/>
      <c r="I3" s="161" t="n"/>
      <c r="J3" s="133" t="n"/>
      <c r="K3" s="159" t="n"/>
      <c r="L3" s="160" t="n"/>
      <c r="M3" s="160" t="n"/>
      <c r="N3" s="161" t="n"/>
      <c r="O3" s="11" t="n"/>
    </row>
    <row r="4" ht="24" customHeight="1" thickBot="1">
      <c r="A4" s="12" t="inlineStr">
        <is>
          <t xml:space="preserve">Date </t>
        </is>
      </c>
      <c r="B4" s="162" t="n">
        <v>46125</v>
      </c>
      <c r="C4" s="151" t="n"/>
      <c r="D4" s="152" t="n"/>
      <c r="E4" s="133" t="n"/>
      <c r="F4" s="163" t="inlineStr">
        <is>
          <t>New Hires Met</t>
        </is>
      </c>
      <c r="G4" s="161" t="n"/>
      <c r="H4" s="21" t="n">
        <v>0</v>
      </c>
      <c r="I4" s="152" t="n"/>
      <c r="J4" s="133" t="n"/>
      <c r="K4" s="2" t="inlineStr">
        <is>
          <t>Number of Hrly Employees Had 5 min Conversation With</t>
        </is>
      </c>
      <c r="L4" s="12" t="inlineStr">
        <is>
          <t>Complete</t>
        </is>
      </c>
      <c r="M4" s="13" t="inlineStr">
        <is>
          <t># Rolling Racks Checked</t>
        </is>
      </c>
      <c r="N4" s="40" t="n">
        <v>0</v>
      </c>
      <c r="O4" s="14" t="n"/>
    </row>
    <row r="5" ht="25.5" customHeight="1">
      <c r="A5" s="2" t="inlineStr">
        <is>
          <t>Date Previous Evaluation</t>
        </is>
      </c>
      <c r="B5" s="164" t="n">
        <v>46104</v>
      </c>
      <c r="C5" s="151" t="n"/>
      <c r="D5" s="152" t="n"/>
      <c r="E5" s="133" t="n"/>
      <c r="F5" s="12" t="inlineStr">
        <is>
          <t xml:space="preserve">Number of New Hires </t>
        </is>
      </c>
      <c r="G5" s="152" t="n"/>
      <c r="H5" s="21" t="n">
        <v>0</v>
      </c>
      <c r="I5" s="152" t="n"/>
      <c r="J5" s="133" t="n"/>
      <c r="K5" s="16" t="inlineStr">
        <is>
          <t>Verifed Huddles                   Complete or Incomplete</t>
        </is>
      </c>
      <c r="L5" s="33" t="inlineStr">
        <is>
          <t>No</t>
        </is>
      </c>
      <c r="M5" s="12" t="inlineStr">
        <is>
          <t># Rolling Rack Items Sent Back</t>
        </is>
      </c>
      <c r="N5" s="41" t="n">
        <v>0</v>
      </c>
      <c r="O5" s="133" t="n"/>
    </row>
    <row r="6" ht="25.5" customHeight="1" thickBot="1">
      <c r="A6" s="17" t="n"/>
      <c r="B6" s="18" t="n"/>
      <c r="C6" s="19" t="n"/>
      <c r="D6" s="19" t="n"/>
      <c r="E6" s="133" t="n"/>
      <c r="F6" s="11" t="n"/>
      <c r="G6" s="11" t="n"/>
      <c r="H6" s="133" t="n"/>
      <c r="I6" s="9" t="n"/>
      <c r="J6" s="133" t="n"/>
      <c r="K6" s="13" t="n"/>
      <c r="L6" s="12" t="n"/>
      <c r="M6" s="13" t="inlineStr">
        <is>
          <t>Hang Count Variance</t>
        </is>
      </c>
      <c r="N6" s="35" t="n">
        <v>-0.15</v>
      </c>
      <c r="O6" s="133" t="n"/>
    </row>
    <row r="7" ht="48" customHeight="1">
      <c r="A7" s="165" t="inlineStr">
        <is>
          <t xml:space="preserve">Pre-Visit Data
</t>
        </is>
      </c>
      <c r="B7" s="155" t="n"/>
      <c r="C7" s="155" t="n"/>
      <c r="D7" s="155" t="n"/>
      <c r="E7" s="155" t="n"/>
      <c r="F7" s="155" t="n"/>
      <c r="G7" s="155" t="n"/>
      <c r="H7" s="155" t="n"/>
      <c r="I7" s="156" t="n"/>
      <c r="J7" s="133" t="n"/>
      <c r="K7" s="16" t="inlineStr">
        <is>
          <t>Ecommerce % +/- to Budget</t>
        </is>
      </c>
      <c r="L7" s="39" t="n">
        <v>0</v>
      </c>
      <c r="M7" s="13" t="inlineStr">
        <is>
          <t>Tote Count Variance</t>
        </is>
      </c>
      <c r="N7" s="35" t="n">
        <v>0</v>
      </c>
      <c r="O7" s="133" t="n"/>
    </row>
    <row r="8" ht="25.5" customHeight="1">
      <c r="A8" s="2" t="inlineStr">
        <is>
          <t>Rev % +/- to Budget</t>
        </is>
      </c>
      <c r="B8" s="152" t="n"/>
      <c r="C8" s="166" t="n">
        <v>0.1050204471105631</v>
      </c>
      <c r="D8" s="152" t="n"/>
      <c r="E8" s="133" t="n"/>
      <c r="F8" s="2" t="inlineStr">
        <is>
          <t>Average Transaction +/- to LY</t>
        </is>
      </c>
      <c r="G8" s="152" t="n"/>
      <c r="H8" s="167" t="n">
        <v>0</v>
      </c>
      <c r="I8" s="152" t="n"/>
      <c r="J8" s="133" t="n"/>
      <c r="K8" s="2" t="inlineStr">
        <is>
          <t>Number of Ecommerce totes sent MTD</t>
        </is>
      </c>
      <c r="L8" s="34" t="n">
        <v>0</v>
      </c>
      <c r="M8" s="12" t="n"/>
      <c r="N8" s="12" t="n">
        <v>0</v>
      </c>
      <c r="O8" s="133" t="n"/>
    </row>
    <row r="9" ht="25.5" customHeight="1">
      <c r="A9" s="2" t="inlineStr">
        <is>
          <t>Rev % +/- to LY</t>
        </is>
      </c>
      <c r="B9" s="152" t="n"/>
      <c r="C9" s="166" t="n">
        <v>0.07605603065035038</v>
      </c>
      <c r="D9" s="152" t="n"/>
      <c r="E9" s="133" t="n"/>
      <c r="F9" s="2" t="inlineStr">
        <is>
          <t>Labor % to Budget</t>
        </is>
      </c>
      <c r="G9" s="152" t="n"/>
      <c r="H9" s="168" t="n">
        <v>0.28</v>
      </c>
      <c r="I9" s="152" t="n"/>
      <c r="J9" s="133" t="n"/>
      <c r="K9" s="2" t="inlineStr">
        <is>
          <t>Is Truck Loaded Correctly</t>
        </is>
      </c>
      <c r="L9" s="12" t="inlineStr">
        <is>
          <t>Yes</t>
        </is>
      </c>
      <c r="M9" s="13" t="inlineStr">
        <is>
          <t># Totes Checked</t>
        </is>
      </c>
      <c r="N9" s="41" t="n">
        <v>0</v>
      </c>
      <c r="O9" s="133" t="n"/>
    </row>
    <row r="10" ht="25.5" customHeight="1">
      <c r="A10" s="2" t="inlineStr">
        <is>
          <t>Donation Growth % to LY</t>
        </is>
      </c>
      <c r="B10" s="152" t="n"/>
      <c r="C10" s="169" t="n">
        <v>0</v>
      </c>
      <c r="D10" s="152" t="n"/>
      <c r="E10" s="133" t="n"/>
      <c r="F10" s="2" t="inlineStr">
        <is>
          <t>Annualized Employee Turnover</t>
        </is>
      </c>
      <c r="G10" s="152" t="n"/>
      <c r="H10" s="170" t="n">
        <v>0.8333333333333334</v>
      </c>
      <c r="I10" s="152" t="n"/>
      <c r="J10" s="133" t="n"/>
      <c r="K10" s="12" t="n"/>
      <c r="L10" s="2" t="n"/>
      <c r="M10" s="12" t="inlineStr">
        <is>
          <t># Tote Items Sent Back</t>
        </is>
      </c>
      <c r="N10" s="41" t="n">
        <v>0</v>
      </c>
      <c r="O10" s="133" t="n"/>
    </row>
    <row r="11" ht="25.5" customHeight="1">
      <c r="A11" s="2" t="inlineStr">
        <is>
          <t>30 Day Sell Through %</t>
        </is>
      </c>
      <c r="B11" s="152" t="n"/>
      <c r="C11" s="171" t="n">
        <v>0.5168969696969697</v>
      </c>
      <c r="D11" s="152" t="n"/>
      <c r="E11" s="133" t="n"/>
      <c r="F11" s="2" t="inlineStr">
        <is>
          <t># of Open Positions</t>
        </is>
      </c>
      <c r="G11" s="152" t="n"/>
      <c r="H11" s="172" t="n">
        <v>0</v>
      </c>
      <c r="I11" s="152" t="n"/>
      <c r="J11" s="133" t="n"/>
      <c r="K11" s="20" t="n"/>
      <c r="L11" s="20" t="n"/>
      <c r="M11" s="20" t="n"/>
      <c r="N11" s="20" t="n"/>
      <c r="O11" s="133" t="n"/>
    </row>
    <row r="12" ht="23.25" customHeight="1" thickBot="1">
      <c r="A12" s="173" t="inlineStr">
        <is>
          <t>Merchandising                                       Enter Yes or No</t>
        </is>
      </c>
      <c r="B12" s="155" t="n"/>
      <c r="C12" s="155" t="n"/>
      <c r="D12" s="156" t="n"/>
      <c r="E12" s="133" t="n"/>
      <c r="F12" s="133" t="n"/>
      <c r="G12" s="133" t="n"/>
      <c r="H12" s="133" t="n"/>
      <c r="I12" s="133" t="n"/>
      <c r="J12" s="133" t="n"/>
      <c r="K12" s="66" t="inlineStr">
        <is>
          <t>Error Rate Check Racks</t>
        </is>
      </c>
      <c r="L12" s="155" t="n"/>
      <c r="M12" s="174" t="inlineStr">
        <is>
          <t>Enter # (check a minimum of 4 racks)</t>
        </is>
      </c>
      <c r="N12" s="53" t="n"/>
      <c r="O12" s="133" t="n"/>
    </row>
    <row r="13" ht="24" customHeight="1" thickBot="1">
      <c r="A13" s="175" t="n"/>
      <c r="D13" s="176" t="n"/>
      <c r="E13" s="133" t="n"/>
      <c r="F13" s="157" t="inlineStr">
        <is>
          <t>Pull/Rotation Validation                                Enter Yes or No</t>
        </is>
      </c>
      <c r="G13" s="155" t="n"/>
      <c r="H13" s="155" t="n"/>
      <c r="I13" s="156" t="n"/>
      <c r="J13" s="133" t="n"/>
      <c r="K13" s="159" t="n"/>
      <c r="L13" s="160" t="n"/>
      <c r="M13" s="160" t="n"/>
      <c r="N13" s="54" t="inlineStr">
        <is>
          <t>% Auto Calc</t>
        </is>
      </c>
      <c r="O13" s="9" t="inlineStr">
        <is>
          <t xml:space="preserve"> </t>
        </is>
      </c>
    </row>
    <row r="14" ht="25.5" customHeight="1" thickBot="1">
      <c r="A14" s="12" t="inlineStr">
        <is>
          <t>Wares Shelves Full &amp; Presented Well</t>
        </is>
      </c>
      <c r="B14" s="151" t="n"/>
      <c r="C14" s="152" t="n"/>
      <c r="D14" s="37" t="inlineStr">
        <is>
          <t>Yes</t>
        </is>
      </c>
      <c r="E14" s="133" t="n"/>
      <c r="F14" s="159" t="n"/>
      <c r="G14" s="160" t="n"/>
      <c r="H14" s="160" t="n"/>
      <c r="I14" s="161" t="n"/>
      <c r="J14" s="133" t="n"/>
      <c r="K14" s="12" t="inlineStr">
        <is>
          <t>Total # of Items Checked</t>
        </is>
      </c>
      <c r="L14" s="152" t="n"/>
      <c r="M14" s="42" t="n">
        <v>0</v>
      </c>
      <c r="N14" s="21" t="n"/>
      <c r="O14" s="11" t="n"/>
    </row>
    <row r="15" ht="24.75" customHeight="1" thickBot="1">
      <c r="A15" s="12" t="inlineStr">
        <is>
          <t>Racks Full (70 - 80 items per 5 ft)</t>
        </is>
      </c>
      <c r="B15" s="151" t="n"/>
      <c r="C15" s="152" t="n"/>
      <c r="D15" s="37" t="inlineStr">
        <is>
          <t>Yes</t>
        </is>
      </c>
      <c r="E15" s="133" t="n"/>
      <c r="F15" s="12" t="inlineStr">
        <is>
          <t>Yes</t>
        </is>
      </c>
      <c r="G15" s="151" t="n"/>
      <c r="H15" s="152" t="n"/>
      <c r="I15" s="36" t="n"/>
      <c r="J15" s="133" t="n"/>
      <c r="K15" s="12" t="inlineStr">
        <is>
          <t># Wrong Price</t>
        </is>
      </c>
      <c r="L15" s="152" t="n"/>
      <c r="M15" s="43" t="n">
        <v>0</v>
      </c>
      <c r="N15" s="22">
        <f>M15/M14</f>
        <v/>
      </c>
      <c r="O15" s="14" t="n"/>
    </row>
    <row r="16" ht="20.25" customHeight="1" thickBot="1">
      <c r="A16" s="12" t="inlineStr">
        <is>
          <t>Shoe Racks Full</t>
        </is>
      </c>
      <c r="B16" s="151" t="n"/>
      <c r="C16" s="152" t="n"/>
      <c r="D16" s="37" t="inlineStr">
        <is>
          <t>Yes</t>
        </is>
      </c>
      <c r="E16" s="133" t="n"/>
      <c r="F16" s="12" t="inlineStr">
        <is>
          <t>Yes</t>
        </is>
      </c>
      <c r="G16" s="151" t="n"/>
      <c r="H16" s="152" t="n"/>
      <c r="I16" s="37" t="n"/>
      <c r="J16" s="133" t="n"/>
      <c r="K16" s="12" t="inlineStr">
        <is>
          <t># Defective</t>
        </is>
      </c>
      <c r="L16" s="152" t="n"/>
      <c r="M16" s="43" t="n">
        <v>0</v>
      </c>
      <c r="N16" s="22">
        <f>M16/M14</f>
        <v/>
      </c>
      <c r="O16" s="133" t="n"/>
    </row>
    <row r="17" ht="19.5" customHeight="1" thickBot="1">
      <c r="A17" s="12" t="inlineStr">
        <is>
          <t>End Caps Full &amp; Presented Well</t>
        </is>
      </c>
      <c r="B17" s="151" t="n"/>
      <c r="C17" s="152" t="n"/>
      <c r="D17" s="37" t="inlineStr">
        <is>
          <t>Yes</t>
        </is>
      </c>
      <c r="E17" s="133" t="n"/>
      <c r="F17" s="12" t="inlineStr">
        <is>
          <t>Yes</t>
        </is>
      </c>
      <c r="G17" s="151" t="n"/>
      <c r="H17" s="152" t="n"/>
      <c r="I17" s="37" t="n"/>
      <c r="J17" s="133" t="n"/>
      <c r="K17" s="12" t="inlineStr">
        <is>
          <t># Wrong Category/Size</t>
        </is>
      </c>
      <c r="L17" s="152" t="n"/>
      <c r="M17" s="43" t="n">
        <v>0</v>
      </c>
      <c r="N17" s="22">
        <f>M17/M14</f>
        <v/>
      </c>
      <c r="O17" s="133" t="n"/>
    </row>
    <row r="18" ht="21" customHeight="1" thickBot="1">
      <c r="A18" s="157" t="inlineStr">
        <is>
          <t>Store Cleanliness                                  Enter Yes or No</t>
        </is>
      </c>
      <c r="B18" s="155" t="n"/>
      <c r="C18" s="155" t="n"/>
      <c r="D18" s="156" t="n"/>
      <c r="E18" s="133" t="n"/>
      <c r="F18" s="12" t="inlineStr">
        <is>
          <t>Yes</t>
        </is>
      </c>
      <c r="G18" s="151" t="n"/>
      <c r="H18" s="152" t="n"/>
      <c r="I18" s="37" t="n"/>
      <c r="J18" s="133" t="n"/>
      <c r="K18" s="12" t="inlineStr">
        <is>
          <t xml:space="preserve"> Total Error Rate Rack</t>
        </is>
      </c>
      <c r="L18" s="152" t="n"/>
      <c r="M18" s="72" t="n"/>
      <c r="N18" s="23">
        <f>SUM(M15:M17)/M14</f>
        <v/>
      </c>
      <c r="O18" s="133" t="n"/>
    </row>
    <row r="19" ht="15.75" customHeight="1" thickBot="1">
      <c r="A19" s="159" t="n"/>
      <c r="B19" s="160" t="n"/>
      <c r="C19" s="160" t="n"/>
      <c r="D19" s="161" t="n"/>
      <c r="E19" s="133" t="n"/>
      <c r="F19" s="12" t="inlineStr">
        <is>
          <t>Yes</t>
        </is>
      </c>
      <c r="G19" s="151" t="n"/>
      <c r="H19" s="152" t="n"/>
      <c r="I19" s="38" t="n"/>
      <c r="J19" s="133" t="n"/>
      <c r="K19" s="11" t="n"/>
      <c r="L19" s="133" t="n"/>
      <c r="M19" s="11" t="n"/>
      <c r="N19" s="24" t="n"/>
      <c r="O19" s="133" t="n"/>
    </row>
    <row r="20" ht="26.25" customHeight="1" thickBot="1">
      <c r="A20" s="177" t="inlineStr">
        <is>
          <t>Parking Lot</t>
        </is>
      </c>
      <c r="B20" s="152" t="n"/>
      <c r="C20" s="178" t="inlineStr">
        <is>
          <t>Yes</t>
        </is>
      </c>
      <c r="D20" s="152" t="n"/>
      <c r="E20" s="133" t="n"/>
      <c r="F20" s="12" t="inlineStr">
        <is>
          <t>Yes</t>
        </is>
      </c>
      <c r="G20" s="151" t="n"/>
      <c r="H20" s="152" t="n"/>
      <c r="I20" s="37" t="n"/>
      <c r="J20" s="133" t="n"/>
      <c r="K20" s="179" t="inlineStr">
        <is>
          <t>Error Rate Check Container Labels</t>
        </is>
      </c>
      <c r="L20" s="155" t="n"/>
      <c r="M20" s="174" t="inlineStr">
        <is>
          <t>Enter # (all accessible visible containers)</t>
        </is>
      </c>
      <c r="N20" s="25" t="n"/>
      <c r="O20" s="133" t="n"/>
    </row>
    <row r="21" ht="20.25" customHeight="1">
      <c r="A21" s="177" t="inlineStr">
        <is>
          <t>Donation Area</t>
        </is>
      </c>
      <c r="B21" s="152" t="n"/>
      <c r="C21" s="178" t="inlineStr">
        <is>
          <t>Yes</t>
        </is>
      </c>
      <c r="D21" s="152" t="n"/>
      <c r="E21" s="133" t="n"/>
      <c r="F21" s="12" t="inlineStr">
        <is>
          <t>Yes</t>
        </is>
      </c>
      <c r="G21" s="151" t="n"/>
      <c r="H21" s="152" t="n"/>
      <c r="I21" s="37" t="n"/>
      <c r="J21" s="133" t="n"/>
      <c r="K21" s="159" t="n"/>
      <c r="L21" s="160" t="n"/>
      <c r="M21" s="160" t="n"/>
      <c r="N21" s="54" t="inlineStr">
        <is>
          <t>% Auto Calc</t>
        </is>
      </c>
      <c r="O21" s="133" t="n"/>
    </row>
    <row r="22" ht="19.5" customHeight="1" thickBot="1">
      <c r="A22" s="177" t="inlineStr">
        <is>
          <t>Windows / Entry</t>
        </is>
      </c>
      <c r="B22" s="152" t="n"/>
      <c r="C22" s="178" t="inlineStr">
        <is>
          <t>Yes</t>
        </is>
      </c>
      <c r="D22" s="152" t="n"/>
      <c r="E22" s="133" t="n"/>
      <c r="F22" s="11" t="inlineStr">
        <is>
          <t xml:space="preserve"> </t>
        </is>
      </c>
      <c r="G22" s="11" t="n"/>
      <c r="H22" s="11" t="n"/>
      <c r="I22" s="26" t="n"/>
      <c r="J22" s="133" t="n"/>
      <c r="K22" s="116" t="inlineStr">
        <is>
          <t>Total # Containers Checked</t>
        </is>
      </c>
      <c r="L22" s="155" t="n"/>
      <c r="M22" s="27" t="n">
        <v>0</v>
      </c>
      <c r="N22" s="28" t="n"/>
      <c r="O22" s="133" t="n"/>
    </row>
    <row r="23" ht="21.95" customHeight="1" thickBot="1">
      <c r="A23" s="180" t="inlineStr">
        <is>
          <t>Cash Wraps</t>
        </is>
      </c>
      <c r="B23" s="156" t="n"/>
      <c r="C23" s="38" t="inlineStr">
        <is>
          <t>Yes</t>
        </is>
      </c>
      <c r="D23" s="156" t="n"/>
      <c r="E23" s="133" t="n"/>
      <c r="F23" s="133" t="n"/>
      <c r="G23" s="29" t="n"/>
      <c r="H23" s="29" t="n"/>
      <c r="I23" s="29" t="n"/>
      <c r="J23" s="133" t="n"/>
      <c r="K23" s="71" t="inlineStr">
        <is>
          <t>Not Labeled</t>
        </is>
      </c>
      <c r="L23" s="151" t="n"/>
      <c r="M23" s="27" t="n">
        <v>0</v>
      </c>
      <c r="N23" s="3">
        <f>M23/M$22</f>
        <v/>
      </c>
      <c r="O23" s="133" t="n"/>
    </row>
    <row r="24" ht="21.95" customHeight="1" thickBot="1">
      <c r="A24" s="21" t="inlineStr">
        <is>
          <t>Floor / Racks</t>
        </is>
      </c>
      <c r="B24" s="152" t="n"/>
      <c r="C24" s="37" t="inlineStr">
        <is>
          <t>Yes</t>
        </is>
      </c>
      <c r="D24" s="152" t="n"/>
      <c r="E24" s="133" t="n"/>
      <c r="F24" s="29" t="n"/>
      <c r="G24" s="29" t="n"/>
      <c r="H24" s="29" t="n"/>
      <c r="I24" s="29" t="n"/>
      <c r="J24" s="133" t="n"/>
      <c r="K24" s="71" t="inlineStr">
        <is>
          <t>Labeled as Salvage but is Raw</t>
        </is>
      </c>
      <c r="L24" s="151" t="n"/>
      <c r="M24" s="27" t="n">
        <v>0</v>
      </c>
      <c r="N24" s="3">
        <f>M24/M$22</f>
        <v/>
      </c>
      <c r="O24" s="133" t="n"/>
    </row>
    <row r="25" ht="21.95" customHeight="1" thickBot="1">
      <c r="A25" s="21" t="inlineStr">
        <is>
          <t>Wares / Shelves</t>
        </is>
      </c>
      <c r="B25" s="152" t="n"/>
      <c r="C25" s="37" t="inlineStr">
        <is>
          <t>Yes</t>
        </is>
      </c>
      <c r="D25" s="152" t="n"/>
      <c r="E25" s="133" t="n"/>
      <c r="F25" s="11" t="n"/>
      <c r="G25" s="19" t="n"/>
      <c r="H25" s="19" t="n"/>
      <c r="I25" s="133" t="n"/>
      <c r="J25" s="133" t="n"/>
      <c r="K25" s="71" t="inlineStr">
        <is>
          <t>Labeled as Raw but is Salvage</t>
        </is>
      </c>
      <c r="L25" s="151" t="n"/>
      <c r="M25" s="12" t="n">
        <v>0</v>
      </c>
      <c r="N25" s="3">
        <f>M25/M$22</f>
        <v/>
      </c>
      <c r="O25" s="133" t="n"/>
    </row>
    <row r="26" ht="21.95" customHeight="1" thickBot="1">
      <c r="A26" s="21" t="inlineStr">
        <is>
          <t>Fitting Rooms</t>
        </is>
      </c>
      <c r="B26" s="152" t="n"/>
      <c r="C26" s="37" t="inlineStr">
        <is>
          <t>Yes</t>
        </is>
      </c>
      <c r="D26" s="152" t="n"/>
      <c r="E26" s="133" t="n"/>
      <c r="F26" s="11" t="n"/>
      <c r="G26" s="19" t="n"/>
      <c r="H26" s="19" t="n"/>
      <c r="I26" s="133" t="n"/>
      <c r="J26" s="133" t="n"/>
      <c r="K26" s="71" t="inlineStr">
        <is>
          <t>Labeled as Soft but is Hard</t>
        </is>
      </c>
      <c r="L26" s="151" t="n"/>
      <c r="M26" s="12" t="n">
        <v>0</v>
      </c>
      <c r="N26" s="3">
        <f>M26/M$22</f>
        <v/>
      </c>
      <c r="O26" s="133" t="n"/>
    </row>
    <row r="27" ht="21.95" customHeight="1" thickBot="1">
      <c r="A27" s="21" t="inlineStr">
        <is>
          <t>Production Room</t>
        </is>
      </c>
      <c r="B27" s="152" t="n"/>
      <c r="C27" s="37" t="inlineStr">
        <is>
          <t>Yes</t>
        </is>
      </c>
      <c r="D27" s="152" t="n"/>
      <c r="E27" s="133" t="n"/>
      <c r="F27" s="11" t="n"/>
      <c r="G27" s="19" t="n"/>
      <c r="H27" s="19" t="n"/>
      <c r="I27" s="133" t="n"/>
      <c r="J27" s="26" t="n"/>
      <c r="K27" s="71" t="inlineStr">
        <is>
          <t>Labeled as Hard but is Soft</t>
        </is>
      </c>
      <c r="L27" s="151" t="n"/>
      <c r="M27" s="12" t="n">
        <v>0</v>
      </c>
      <c r="N27" s="3">
        <f>M27/M$22</f>
        <v/>
      </c>
      <c r="O27" s="133" t="n"/>
    </row>
    <row r="28" ht="21.95" customHeight="1" thickBot="1">
      <c r="A28" s="21" t="inlineStr">
        <is>
          <t>Offices</t>
        </is>
      </c>
      <c r="B28" s="152" t="n"/>
      <c r="C28" s="37" t="inlineStr">
        <is>
          <t>Yes</t>
        </is>
      </c>
      <c r="D28" s="152" t="n"/>
      <c r="E28" s="133" t="n"/>
      <c r="F28" s="11" t="n"/>
      <c r="G28" s="19" t="n"/>
      <c r="H28" s="19" t="n"/>
      <c r="I28" s="133" t="n"/>
      <c r="J28" s="26" t="n"/>
      <c r="K28" s="71" t="inlineStr">
        <is>
          <t>Total Error Rate Container Labels</t>
        </is>
      </c>
      <c r="L28" s="151" t="n"/>
      <c r="M28" s="12" t="n"/>
      <c r="N28" s="3">
        <f>SUM(M23:M27)/M22</f>
        <v/>
      </c>
      <c r="O28" s="133" t="n"/>
    </row>
    <row r="29">
      <c r="A29" s="133" t="n"/>
      <c r="B29" s="133" t="n"/>
      <c r="C29" s="133" t="n"/>
      <c r="D29" s="133" t="n"/>
      <c r="E29" s="133" t="n"/>
      <c r="F29" s="26" t="n"/>
      <c r="G29" s="26" t="n"/>
      <c r="H29" s="26" t="n"/>
      <c r="I29" s="26" t="n"/>
      <c r="J29" s="26" t="n"/>
      <c r="K29" s="133" t="n"/>
      <c r="L29" s="133" t="n"/>
      <c r="M29" s="133" t="n"/>
      <c r="N29" s="133" t="n"/>
      <c r="O29" s="30" t="n"/>
      <c r="P29" s="4" t="n"/>
    </row>
    <row r="30" ht="15.75" customHeight="1" thickBot="1">
      <c r="A30" s="7" t="inlineStr">
        <is>
          <t>General Store Comments</t>
        </is>
      </c>
      <c r="B30" s="133" t="n"/>
      <c r="C30" s="133" t="n"/>
      <c r="D30" s="133" t="n"/>
      <c r="E30" s="133" t="n"/>
      <c r="F30" s="26" t="n"/>
      <c r="G30" s="26" t="n"/>
      <c r="H30" s="26" t="n"/>
      <c r="I30" s="26" t="n"/>
      <c r="J30" s="26" t="n"/>
      <c r="K30" s="26" t="n"/>
      <c r="L30" s="26" t="n"/>
      <c r="M30" s="26" t="n"/>
      <c r="N30" s="26" t="n"/>
      <c r="O30" s="30" t="n"/>
      <c r="P30" s="4" t="n"/>
    </row>
    <row r="31">
      <c r="A31" s="181" t="inlineStr">
        <is>
          <t>Beechmont has achieved $87,864 in MTD sales against a budget of $79,514, running 10.5% above budget and 7.6% ahead of last year. Donna Clouse and Kathy Blanton should be recognized for this strong sales performance. The 30-day sell through rate of 51.7% is solid and shows the sales floor is moving product effectively. The average transaction value of $26.57 is healthy and contributing to the top-line results.
However, there are significant concerns that need immediate attention. Beechmont is currently 6,634 units below its unit goal of 37,890. This is a major production gap. Despite strong sell through, the store is not generating enough units to keep pace with what is needed. Production output must increase substantially to close this deficit before the end of the month. Labor is running 28.0% over budget, which is a serious cost issue. With zero open positions, the store is fully staffed, so the overspend is not tied to hiring needs but rather to scheduling and efficiency. Donna Clouse and Kathy Blanton need to review schedules closely and find ways to reduce hours while still pushing production higher.
Donation growth is flat to last year at 0.0%, which is a missed opportunity. The team should be actively soliciting donations at the register and through community outreach. Ecommerce is also at 0.0% to budget with zero totes shipped MTD. This program needs to be activated immediately. Annualized turnover is at 83.3%, which is very high and likely contributing to inefficiencies and the labor overspend. Retention efforts should be a focus going forward.
No observation gaps were noted during the visit, which is a positive reflection on store standards. There were no carry-over items from the last visit.
Focus areas for Beechmont:
• Close the 6,634 unit production deficit by increasing daily output targets
• Reduce labor percentage, currently 28.0% over budget, through tighter scheduling
• Launch ecommerce tote production immediately
• Develop a plan to grow donations above last year
• Address turnover at 83.3% through improved retention strategies</t>
        </is>
      </c>
      <c r="B31" s="155" t="n"/>
      <c r="C31" s="155" t="n"/>
      <c r="D31" s="155" t="n"/>
      <c r="E31" s="155" t="n"/>
      <c r="F31" s="155" t="n"/>
      <c r="G31" s="155" t="n"/>
      <c r="H31" s="155" t="n"/>
      <c r="I31" s="155" t="n"/>
      <c r="J31" s="155" t="n"/>
      <c r="K31" s="155" t="n"/>
      <c r="L31" s="155" t="n"/>
      <c r="M31" s="155" t="n"/>
      <c r="N31" s="156" t="n"/>
      <c r="O31" s="30" t="n"/>
      <c r="P31" s="4" t="n"/>
    </row>
    <row r="32">
      <c r="A32" s="175" t="n"/>
      <c r="N32" s="176" t="n"/>
      <c r="O32" s="30" t="n"/>
      <c r="P32" s="4" t="n"/>
    </row>
    <row r="33">
      <c r="A33" s="175" t="n"/>
      <c r="N33" s="176" t="n"/>
      <c r="O33" s="30" t="n"/>
      <c r="P33" s="4" t="n"/>
    </row>
    <row r="34" ht="15" customHeight="1">
      <c r="A34" s="175" t="n"/>
      <c r="N34" s="176" t="n"/>
      <c r="O34" s="30" t="n"/>
      <c r="P34" s="4" t="n"/>
    </row>
    <row r="35">
      <c r="A35" s="175" t="n"/>
      <c r="N35" s="176" t="n"/>
      <c r="O35" s="133" t="n"/>
    </row>
    <row r="36">
      <c r="A36" s="175" t="n"/>
      <c r="N36" s="176" t="n"/>
      <c r="O36" s="133" t="n"/>
    </row>
    <row r="37" ht="195.75" customHeight="1">
      <c r="A37" s="159" t="n"/>
      <c r="B37" s="160" t="n"/>
      <c r="C37" s="160" t="n"/>
      <c r="D37" s="160" t="n"/>
      <c r="E37" s="160" t="n"/>
      <c r="F37" s="160" t="n"/>
      <c r="G37" s="160" t="n"/>
      <c r="H37" s="160" t="n"/>
      <c r="I37" s="160" t="n"/>
      <c r="J37" s="160" t="n"/>
      <c r="K37" s="160" t="n"/>
      <c r="L37" s="160" t="n"/>
      <c r="M37" s="160" t="n"/>
      <c r="N37" s="161" t="n"/>
      <c r="O37" s="133" t="n"/>
    </row>
    <row r="38">
      <c r="A38" s="31" t="n"/>
      <c r="B38" s="133" t="n"/>
      <c r="C38" s="133" t="n"/>
      <c r="D38" s="133" t="n"/>
      <c r="E38" s="133" t="n"/>
      <c r="F38" s="133" t="n"/>
      <c r="G38" s="133" t="n"/>
      <c r="H38" s="133" t="n"/>
      <c r="I38" s="133" t="n"/>
      <c r="J38" s="133" t="n"/>
      <c r="K38" s="133" t="n"/>
      <c r="L38" s="133" t="n"/>
      <c r="M38" s="133" t="n"/>
      <c r="N38" s="133" t="n"/>
      <c r="O38" s="133" t="n"/>
    </row>
    <row r="39" ht="19.5" customHeight="1" thickBot="1">
      <c r="A39" s="32" t="inlineStr">
        <is>
          <t>Three Most Important Priorities</t>
        </is>
      </c>
      <c r="B39" s="133" t="n"/>
      <c r="C39" s="133" t="n"/>
      <c r="D39" s="133" t="n"/>
      <c r="E39" s="133" t="n"/>
      <c r="F39" s="133" t="n"/>
      <c r="G39" s="133" t="n"/>
      <c r="H39" s="133" t="n"/>
      <c r="I39" s="133" t="n"/>
      <c r="J39" s="133" t="n"/>
      <c r="K39" s="133" t="n"/>
      <c r="L39" s="133" t="n"/>
      <c r="M39" s="133" t="n"/>
      <c r="N39" s="133" t="n"/>
      <c r="O39" s="133" t="n"/>
    </row>
    <row r="40" ht="15" customHeight="1">
      <c r="A40" s="182" t="n">
        <v>1</v>
      </c>
      <c r="B40" s="66" t="inlineStr">
        <is>
          <t>Opportunity</t>
        </is>
      </c>
      <c r="C40" s="155" t="n"/>
      <c r="D40" s="183" t="inlineStr">
        <is>
          <t>Beechmont is 6,634 units below its MTD unit goal of 37,890. Production output must increase significantly to close this gap by 4/27/26.</t>
        </is>
      </c>
      <c r="E40" s="155" t="n"/>
      <c r="F40" s="155" t="n"/>
      <c r="G40" s="155" t="n"/>
      <c r="H40" s="155" t="n"/>
      <c r="I40" s="155" t="n"/>
      <c r="J40" s="155" t="n"/>
      <c r="K40" s="155" t="n"/>
      <c r="L40" s="155" t="n"/>
      <c r="M40" s="155" t="n"/>
      <c r="N40" s="156" t="n"/>
      <c r="O40" s="30" t="n"/>
      <c r="P40" s="4" t="n"/>
      <c r="Q40" s="4" t="n"/>
      <c r="R40" s="4" t="n"/>
      <c r="S40" s="4" t="n"/>
      <c r="T40" s="4" t="n"/>
    </row>
    <row r="41" ht="15.75" customHeight="1" thickBot="1">
      <c r="A41" s="184" t="n"/>
      <c r="B41" s="159" t="n"/>
      <c r="C41" s="160" t="n"/>
      <c r="D41" s="159" t="n"/>
      <c r="E41" s="160" t="n"/>
      <c r="F41" s="160" t="n"/>
      <c r="G41" s="160" t="n"/>
      <c r="H41" s="160" t="n"/>
      <c r="I41" s="160" t="n"/>
      <c r="J41" s="160" t="n"/>
      <c r="K41" s="160" t="n"/>
      <c r="L41" s="160" t="n"/>
      <c r="M41" s="160" t="n"/>
      <c r="N41" s="161" t="n"/>
      <c r="O41" s="30" t="n"/>
      <c r="P41" s="4" t="n"/>
      <c r="Q41" s="4" t="n"/>
      <c r="R41" s="4" t="n"/>
      <c r="S41" s="4" t="n"/>
      <c r="T41" s="4" t="n"/>
    </row>
    <row r="42" ht="15" customHeight="1">
      <c r="A42" s="184" t="n"/>
      <c r="B42" s="179" t="inlineStr">
        <is>
          <t>Action Plan            (Smart Goal)</t>
        </is>
      </c>
      <c r="C42" s="155" t="n"/>
      <c r="D42" s="185" t="inlineStr">
        <is>
          <t>Responsible: Donna Clouse
- Calculate the daily unit production target needed to close the 6,634 unit deficit by 4/27/26
- Set clear daily production goals for each shift and communicate expectations to all team members
- Assign Kathy Blanton to monitor hourly production counts and adjust workflow as needed throughout each day
- Identify and remove bottlenecks in the sorting and pricing process to speed up throughput
- Review production results daily and hold brief team huddles to track progress toward the goal</t>
        </is>
      </c>
      <c r="E42" s="155" t="n"/>
      <c r="F42" s="155" t="n"/>
      <c r="G42" s="155" t="n"/>
      <c r="H42" s="155" t="n"/>
      <c r="I42" s="155" t="n"/>
      <c r="J42" s="155" t="n"/>
      <c r="K42" s="155" t="n"/>
      <c r="L42" s="155" t="n"/>
      <c r="M42" s="155" t="n"/>
      <c r="N42" s="156" t="n"/>
      <c r="O42" s="30" t="n"/>
      <c r="P42" s="4" t="n"/>
      <c r="Q42" s="4" t="n"/>
      <c r="R42" s="4" t="n"/>
      <c r="S42" s="4" t="n"/>
      <c r="T42" s="4" t="n"/>
    </row>
    <row r="43">
      <c r="A43" s="184" t="n"/>
      <c r="B43" s="175" t="n"/>
      <c r="D43" s="175" t="n"/>
      <c r="N43" s="176" t="n"/>
      <c r="O43" s="30" t="n"/>
      <c r="P43" s="4" t="n"/>
      <c r="Q43" s="4" t="n"/>
      <c r="R43" s="4" t="n"/>
      <c r="S43" s="4" t="n"/>
      <c r="T43" s="4" t="n"/>
    </row>
    <row r="44" ht="77.25" customHeight="1" thickBot="1">
      <c r="A44" s="158" t="n"/>
      <c r="B44" s="159" t="n"/>
      <c r="C44" s="160" t="n"/>
      <c r="D44" s="159" t="n"/>
      <c r="E44" s="160" t="n"/>
      <c r="F44" s="160" t="n"/>
      <c r="G44" s="160" t="n"/>
      <c r="H44" s="160" t="n"/>
      <c r="I44" s="160" t="n"/>
      <c r="J44" s="160" t="n"/>
      <c r="K44" s="160" t="n"/>
      <c r="L44" s="160" t="n"/>
      <c r="M44" s="160" t="n"/>
      <c r="N44" s="161" t="n"/>
      <c r="O44" s="30" t="n"/>
      <c r="P44" s="4" t="n"/>
      <c r="Q44" s="4" t="n"/>
      <c r="R44" s="4" t="n"/>
      <c r="S44" s="4" t="n"/>
      <c r="T44" s="4" t="n"/>
    </row>
    <row r="45" ht="15.75" customHeight="1" thickBot="1">
      <c r="A45" s="133" t="n"/>
      <c r="B45" s="133" t="n"/>
      <c r="C45" s="133" t="n"/>
      <c r="D45" s="30" t="n"/>
      <c r="E45" s="30" t="n"/>
      <c r="F45" s="30" t="n"/>
      <c r="G45" s="30" t="n"/>
      <c r="H45" s="30" t="n"/>
      <c r="I45" s="30" t="n"/>
      <c r="J45" s="30" t="n"/>
      <c r="K45" s="30" t="n"/>
      <c r="L45" s="30" t="n"/>
      <c r="M45" s="30" t="n"/>
      <c r="N45" s="30" t="n"/>
      <c r="O45" s="30" t="n"/>
      <c r="P45" s="4" t="n"/>
      <c r="Q45" s="4" t="n"/>
      <c r="R45" s="4" t="n"/>
      <c r="S45" s="4" t="n"/>
      <c r="T45" s="4" t="n"/>
    </row>
    <row r="46" ht="15" customHeight="1">
      <c r="A46" s="182" t="n">
        <v>2</v>
      </c>
      <c r="B46" s="66" t="inlineStr">
        <is>
          <t>Opportunity</t>
        </is>
      </c>
      <c r="C46" s="155" t="n"/>
      <c r="D46" s="183" t="inlineStr">
        <is>
          <t>Labor is running 28.0% over budget despite having zero open positions. Scheduling and labor efficiency must be brought in line by 4/27/26.</t>
        </is>
      </c>
      <c r="E46" s="155" t="n"/>
      <c r="F46" s="155" t="n"/>
      <c r="G46" s="155" t="n"/>
      <c r="H46" s="155" t="n"/>
      <c r="I46" s="155" t="n"/>
      <c r="J46" s="155" t="n"/>
      <c r="K46" s="155" t="n"/>
      <c r="L46" s="155" t="n"/>
      <c r="M46" s="155" t="n"/>
      <c r="N46" s="156" t="n"/>
      <c r="O46" s="30" t="n"/>
      <c r="P46" s="4" t="n"/>
      <c r="Q46" s="4" t="n"/>
      <c r="R46" s="4" t="n"/>
      <c r="S46" s="4" t="n"/>
      <c r="T46" s="4" t="n"/>
    </row>
    <row r="47" ht="15.75" customHeight="1" thickBot="1">
      <c r="A47" s="184" t="n"/>
      <c r="B47" s="159" t="n"/>
      <c r="C47" s="160" t="n"/>
      <c r="D47" s="159" t="n"/>
      <c r="E47" s="160" t="n"/>
      <c r="F47" s="160" t="n"/>
      <c r="G47" s="160" t="n"/>
      <c r="H47" s="160" t="n"/>
      <c r="I47" s="160" t="n"/>
      <c r="J47" s="160" t="n"/>
      <c r="K47" s="160" t="n"/>
      <c r="L47" s="160" t="n"/>
      <c r="M47" s="160" t="n"/>
      <c r="N47" s="161" t="n"/>
      <c r="O47" s="30" t="n"/>
      <c r="P47" s="4" t="n"/>
      <c r="Q47" s="4" t="n"/>
      <c r="R47" s="4" t="n"/>
      <c r="S47" s="4" t="n"/>
      <c r="T47" s="4" t="n"/>
    </row>
    <row r="48" ht="15" customHeight="1">
      <c r="A48" s="184" t="n"/>
      <c r="B48" s="179" t="inlineStr">
        <is>
          <t>Action Plan            (Smart Goal)</t>
        </is>
      </c>
      <c r="C48" s="155" t="n"/>
      <c r="D48" s="185" t="inlineStr">
        <is>
          <t>Responsible: Kathy Blanton
- Audit the current schedule and identify shifts or days where hours can be reduced without impacting production
- Align staffing levels to peak traffic and production periods and reduce overlap during slower times
- Track daily labor spend against budget and make real-time adjustments to avoid further overspend
- Review overtime usage and eliminate any unnecessary overtime hours immediately
- Report weekly labor progress to Donna Clouse to ensure accountability</t>
        </is>
      </c>
      <c r="E48" s="155" t="n"/>
      <c r="F48" s="155" t="n"/>
      <c r="G48" s="155" t="n"/>
      <c r="H48" s="155" t="n"/>
      <c r="I48" s="155" t="n"/>
      <c r="J48" s="155" t="n"/>
      <c r="K48" s="155" t="n"/>
      <c r="L48" s="155" t="n"/>
      <c r="M48" s="155" t="n"/>
      <c r="N48" s="156" t="n"/>
      <c r="O48" s="30" t="n"/>
      <c r="P48" s="4" t="n"/>
      <c r="Q48" s="4" t="n"/>
      <c r="R48" s="4" t="n"/>
      <c r="S48" s="4" t="n"/>
      <c r="T48" s="4" t="n"/>
    </row>
    <row r="49">
      <c r="A49" s="184" t="n"/>
      <c r="B49" s="175" t="n"/>
      <c r="D49" s="175" t="n"/>
      <c r="N49" s="176" t="n"/>
      <c r="O49" s="30" t="n"/>
      <c r="P49" s="4" t="n"/>
      <c r="Q49" s="4" t="n"/>
      <c r="R49" s="4" t="n"/>
      <c r="S49" s="4" t="n"/>
      <c r="T49" s="4" t="n"/>
    </row>
    <row r="50" ht="33.75" customHeight="1" thickBot="1">
      <c r="A50" s="158" t="n"/>
      <c r="B50" s="159" t="n"/>
      <c r="C50" s="160" t="n"/>
      <c r="D50" s="159" t="n"/>
      <c r="E50" s="160" t="n"/>
      <c r="F50" s="160" t="n"/>
      <c r="G50" s="160" t="n"/>
      <c r="H50" s="160" t="n"/>
      <c r="I50" s="160" t="n"/>
      <c r="J50" s="160" t="n"/>
      <c r="K50" s="160" t="n"/>
      <c r="L50" s="160" t="n"/>
      <c r="M50" s="160" t="n"/>
      <c r="N50" s="161" t="n"/>
      <c r="O50" s="30" t="n"/>
      <c r="P50" s="4" t="n"/>
      <c r="Q50" s="4" t="n"/>
      <c r="R50" s="4" t="n"/>
      <c r="S50" s="4" t="n"/>
      <c r="T50" s="4" t="n"/>
    </row>
    <row r="51">
      <c r="A51" s="133" t="n"/>
      <c r="B51" s="133" t="n"/>
      <c r="C51" s="133" t="n"/>
      <c r="D51" s="30" t="n"/>
      <c r="E51" s="30" t="n"/>
      <c r="F51" s="30" t="n"/>
      <c r="G51" s="30" t="n"/>
      <c r="H51" s="30" t="n"/>
      <c r="I51" s="30" t="n"/>
      <c r="J51" s="30" t="n"/>
      <c r="K51" s="30" t="n"/>
      <c r="L51" s="30" t="n"/>
      <c r="M51" s="30" t="n"/>
      <c r="N51" s="30" t="n"/>
      <c r="O51" s="30" t="n"/>
      <c r="P51" s="4" t="n"/>
      <c r="Q51" s="4" t="n"/>
      <c r="R51" s="4" t="n"/>
      <c r="S51" s="4" t="n"/>
      <c r="T51" s="4" t="n"/>
    </row>
    <row r="52" ht="15" customHeight="1">
      <c r="A52" s="182" t="n">
        <v>3</v>
      </c>
      <c r="B52" s="66" t="inlineStr">
        <is>
          <t>Opportunity</t>
        </is>
      </c>
      <c r="C52" s="155" t="n"/>
      <c r="D52" s="183" t="inlineStr">
        <is>
          <t>Ecommerce is at 0.0% to budget with zero totes shipped MTD. The program must be activated and producing totes by 4/27/26.</t>
        </is>
      </c>
      <c r="E52" s="155" t="n"/>
      <c r="F52" s="155" t="n"/>
      <c r="G52" s="155" t="n"/>
      <c r="H52" s="155" t="n"/>
      <c r="I52" s="155" t="n"/>
      <c r="J52" s="155" t="n"/>
      <c r="K52" s="155" t="n"/>
      <c r="L52" s="155" t="n"/>
      <c r="M52" s="155" t="n"/>
      <c r="N52" s="156" t="n"/>
      <c r="O52" s="30" t="n"/>
      <c r="P52" s="4" t="n"/>
      <c r="Q52" s="4" t="n"/>
      <c r="R52" s="4" t="n"/>
      <c r="S52" s="4" t="n"/>
      <c r="T52" s="4" t="n"/>
    </row>
    <row r="53" ht="15.75" customHeight="1">
      <c r="A53" s="184" t="n"/>
      <c r="B53" s="159" t="n"/>
      <c r="C53" s="160" t="n"/>
      <c r="D53" s="159" t="n"/>
      <c r="E53" s="160" t="n"/>
      <c r="F53" s="160" t="n"/>
      <c r="G53" s="160" t="n"/>
      <c r="H53" s="160" t="n"/>
      <c r="I53" s="160" t="n"/>
      <c r="J53" s="160" t="n"/>
      <c r="K53" s="160" t="n"/>
      <c r="L53" s="160" t="n"/>
      <c r="M53" s="160" t="n"/>
      <c r="N53" s="161" t="n"/>
      <c r="O53" s="30" t="n"/>
      <c r="P53" s="4" t="n"/>
      <c r="Q53" s="4" t="n"/>
      <c r="R53" s="4" t="n"/>
      <c r="S53" s="4" t="n"/>
      <c r="T53" s="4" t="n"/>
    </row>
    <row r="54" ht="15" customHeight="1">
      <c r="A54" s="184" t="n"/>
      <c r="B54" s="179" t="inlineStr">
        <is>
          <t>Action Plan            (Smart Goal)</t>
        </is>
      </c>
      <c r="C54" s="155" t="n"/>
      <c r="D54" s="185" t="inlineStr">
        <is>
          <t>Responsible: Donna Clouse
- Identify and assign team members to handle ecommerce sourcing, listing, and tote preparation
- Set a specific weekly tote goal and build ecommerce tasks into the daily workflow
- Ensure Kathy Blanton is trained on ecommerce processes and can oversee daily execution
- Review product sourcing criteria to ensure high-value items are being pulled for ecommerce
- Track tote count weekly and adjust staffing or process as needed to meet budget expectations</t>
        </is>
      </c>
      <c r="E54" s="155" t="n"/>
      <c r="F54" s="155" t="n"/>
      <c r="G54" s="155" t="n"/>
      <c r="H54" s="155" t="n"/>
      <c r="I54" s="155" t="n"/>
      <c r="J54" s="155" t="n"/>
      <c r="K54" s="155" t="n"/>
      <c r="L54" s="155" t="n"/>
      <c r="M54" s="155" t="n"/>
      <c r="N54" s="156" t="n"/>
      <c r="O54" s="30" t="n"/>
      <c r="P54" s="4" t="n"/>
      <c r="Q54" s="4" t="n"/>
      <c r="R54" s="4" t="n"/>
      <c r="S54" s="4" t="n"/>
      <c r="T54" s="4" t="n"/>
    </row>
    <row r="55">
      <c r="A55" s="184" t="n"/>
      <c r="B55" s="175" t="n"/>
      <c r="D55" s="175" t="n"/>
      <c r="N55" s="176" t="n"/>
      <c r="O55" s="30" t="n"/>
      <c r="P55" s="4" t="n"/>
      <c r="Q55" s="4" t="n"/>
      <c r="R55" s="4" t="n"/>
      <c r="S55" s="4" t="n"/>
      <c r="T55" s="4" t="n"/>
    </row>
    <row r="56" ht="68.25" customHeight="1" thickBot="1">
      <c r="A56" s="158" t="n"/>
      <c r="B56" s="159" t="n"/>
      <c r="C56" s="160" t="n"/>
      <c r="D56" s="159" t="n"/>
      <c r="E56" s="160" t="n"/>
      <c r="F56" s="160" t="n"/>
      <c r="G56" s="160" t="n"/>
      <c r="H56" s="160" t="n"/>
      <c r="I56" s="160" t="n"/>
      <c r="J56" s="160" t="n"/>
      <c r="K56" s="160" t="n"/>
      <c r="L56" s="160" t="n"/>
      <c r="M56" s="160" t="n"/>
      <c r="N56" s="161" t="n"/>
      <c r="O56" s="30" t="n"/>
      <c r="P56" s="4" t="n"/>
      <c r="Q56" s="4" t="n"/>
      <c r="R56" s="4" t="n"/>
      <c r="S56" s="4" t="n"/>
      <c r="T56" s="4" t="n"/>
    </row>
    <row r="57">
      <c r="A57" s="133" t="n"/>
      <c r="B57" s="133" t="n"/>
      <c r="C57" s="133" t="n"/>
      <c r="D57" s="133" t="n"/>
      <c r="E57" s="133" t="n"/>
      <c r="F57" s="133" t="n"/>
      <c r="G57" s="133" t="n"/>
      <c r="H57" s="133" t="n"/>
      <c r="I57" s="133" t="n"/>
      <c r="J57" s="133" t="n"/>
      <c r="K57" s="133" t="n"/>
      <c r="L57" s="133" t="n"/>
      <c r="M57" s="133" t="n"/>
      <c r="N57" s="133" t="n"/>
      <c r="O57" s="133" t="n"/>
    </row>
    <row r="58">
      <c r="A58" s="133" t="n"/>
      <c r="D58" s="133" t="n"/>
      <c r="E58" s="133" t="n"/>
      <c r="F58" s="133" t="n"/>
      <c r="G58" s="133" t="n"/>
      <c r="H58" s="133" t="n"/>
      <c r="I58" s="133" t="n"/>
      <c r="J58" s="133" t="n"/>
      <c r="K58" s="133" t="n"/>
      <c r="L58" s="133" t="n"/>
      <c r="M58" s="133" t="n"/>
      <c r="N58" s="133" t="n"/>
      <c r="O58" s="133" t="n"/>
    </row>
    <row r="59">
      <c r="A59" s="133" t="n"/>
      <c r="B59" s="133" t="n"/>
      <c r="C59" s="133" t="n"/>
      <c r="D59" s="133" t="n"/>
      <c r="E59" s="133" t="n"/>
      <c r="F59" s="133" t="n"/>
      <c r="G59" s="133" t="n"/>
      <c r="H59" s="133" t="n"/>
      <c r="I59" s="133" t="n"/>
      <c r="J59" s="133" t="n"/>
      <c r="K59" s="133" t="n"/>
      <c r="L59" s="133" t="n"/>
      <c r="M59" s="133" t="n"/>
      <c r="N59" s="133" t="n"/>
      <c r="O59" s="133" t="n"/>
    </row>
    <row r="60">
      <c r="A60" s="30" t="n"/>
      <c r="B60" s="30" t="n"/>
      <c r="C60" s="30" t="n"/>
      <c r="D60" s="30" t="n"/>
      <c r="E60" s="30" t="n"/>
      <c r="F60" s="30" t="n"/>
      <c r="G60" s="30" t="n"/>
      <c r="H60" s="30" t="n"/>
      <c r="I60" s="30" t="n"/>
      <c r="J60" s="30" t="n"/>
      <c r="K60" s="30" t="n"/>
      <c r="L60" s="30" t="n"/>
      <c r="M60" s="30" t="n"/>
      <c r="N60" s="30" t="n"/>
      <c r="O60" s="30" t="n"/>
      <c r="P60" s="4" t="n"/>
      <c r="Q60" s="4" t="n"/>
      <c r="R60" s="4" t="n"/>
      <c r="S60" s="4" t="n"/>
      <c r="T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Dawn Corley</dc:creator>
  <dcterms:created xmlns:dcterms="http://purl.org/dc/terms/" xmlns:xsi="http://www.w3.org/2001/XMLSchema-instance" xsi:type="dcterms:W3CDTF">2024-11-15T16:32:19Z</dcterms:created>
  <dcterms:modified xmlns:dcterms="http://purl.org/dc/terms/" xmlns:xsi="http://www.w3.org/2001/XMLSchema-instance" xsi:type="dcterms:W3CDTF">2026-04-14T00:08:33Z</dcterms:modified>
</cp:coreProperties>
</file>