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ack Units Reports\2026 Rack Units Reports\"/>
    </mc:Choice>
  </mc:AlternateContent>
  <xr:revisionPtr revIDLastSave="0" documentId="13_ncr:1_{A4AC5B6D-4048-4707-9B89-D6235EB12733}" xr6:coauthVersionLast="47" xr6:coauthVersionMax="47" xr10:uidLastSave="{00000000-0000-0000-0000-000000000000}"/>
  <bookViews>
    <workbookView xWindow="-108" yWindow="-108" windowWidth="23256" windowHeight="13896" tabRatio="513" xr2:uid="{6B0BE5E8-715E-40D2-BC94-61622D4C6840}"/>
  </bookViews>
  <sheets>
    <sheet name="Rack Units Report" sheetId="1" r:id="rId1"/>
    <sheet name="Calc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" i="1" l="1"/>
  <c r="X29" i="1"/>
  <c r="W29" i="1"/>
  <c r="V29" i="1"/>
  <c r="Q29" i="1"/>
  <c r="P29" i="1"/>
  <c r="N29" i="1"/>
  <c r="K29" i="1"/>
  <c r="J29" i="1"/>
  <c r="I29" i="1"/>
  <c r="H29" i="1"/>
  <c r="G29" i="1"/>
  <c r="F29" i="1"/>
  <c r="D29" i="1"/>
  <c r="C29" i="1"/>
  <c r="J26" i="2"/>
  <c r="K26" i="2"/>
  <c r="M26" i="2"/>
  <c r="S26" i="2"/>
  <c r="U26" i="2"/>
  <c r="F26" i="2"/>
  <c r="D26" i="2"/>
  <c r="C26" i="2"/>
  <c r="B26" i="2"/>
  <c r="E28" i="1" l="1"/>
  <c r="S28" i="1"/>
  <c r="R28" i="1"/>
  <c r="E9" i="2" l="1"/>
  <c r="G9" i="2" l="1"/>
  <c r="AB29" i="1" l="1"/>
  <c r="L14" i="2" l="1"/>
  <c r="R27" i="1" l="1"/>
  <c r="S29" i="1" l="1"/>
  <c r="R29" i="1"/>
  <c r="E24" i="2" l="1"/>
  <c r="G24" i="2" s="1"/>
  <c r="L24" i="2"/>
  <c r="N24" i="2" s="1"/>
  <c r="P24" i="2" s="1"/>
  <c r="R24" i="2" s="1"/>
  <c r="T24" i="2" s="1"/>
  <c r="V24" i="2" s="1"/>
  <c r="E27" i="1"/>
  <c r="S27" i="1"/>
  <c r="L27" i="1"/>
  <c r="O26" i="2"/>
  <c r="M27" i="1" l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29" i="1" s="1"/>
  <c r="L16" i="1" l="1"/>
  <c r="L20" i="1" l="1"/>
  <c r="D32" i="1"/>
  <c r="L23" i="2" l="1"/>
  <c r="N23" i="2" s="1"/>
  <c r="P23" i="2" s="1"/>
  <c r="R23" i="2" s="1"/>
  <c r="T23" i="2" s="1"/>
  <c r="V23" i="2" s="1"/>
  <c r="E23" i="2"/>
  <c r="G23" i="2" s="1"/>
  <c r="L22" i="2"/>
  <c r="N22" i="2" s="1"/>
  <c r="P22" i="2" s="1"/>
  <c r="R22" i="2" s="1"/>
  <c r="T22" i="2" s="1"/>
  <c r="V22" i="2" s="1"/>
  <c r="E22" i="2"/>
  <c r="G22" i="2" s="1"/>
  <c r="L21" i="2"/>
  <c r="N21" i="2" s="1"/>
  <c r="P21" i="2" s="1"/>
  <c r="R21" i="2" s="1"/>
  <c r="T21" i="2" s="1"/>
  <c r="V21" i="2" s="1"/>
  <c r="E21" i="2"/>
  <c r="G21" i="2" s="1"/>
  <c r="L20" i="2"/>
  <c r="N20" i="2" s="1"/>
  <c r="P20" i="2" s="1"/>
  <c r="E20" i="2"/>
  <c r="G20" i="2" s="1"/>
  <c r="L19" i="2"/>
  <c r="N19" i="2" s="1"/>
  <c r="P19" i="2" s="1"/>
  <c r="R19" i="2" s="1"/>
  <c r="T19" i="2" s="1"/>
  <c r="V19" i="2" s="1"/>
  <c r="E19" i="2"/>
  <c r="G19" i="2" s="1"/>
  <c r="L18" i="2"/>
  <c r="N18" i="2" s="1"/>
  <c r="P18" i="2" s="1"/>
  <c r="R18" i="2" s="1"/>
  <c r="T18" i="2" s="1"/>
  <c r="V18" i="2" s="1"/>
  <c r="E18" i="2"/>
  <c r="G18" i="2" s="1"/>
  <c r="L17" i="2"/>
  <c r="N17" i="2" s="1"/>
  <c r="P17" i="2" s="1"/>
  <c r="R17" i="2" s="1"/>
  <c r="T17" i="2" s="1"/>
  <c r="V17" i="2" s="1"/>
  <c r="E17" i="2"/>
  <c r="G17" i="2" s="1"/>
  <c r="L16" i="2"/>
  <c r="N16" i="2" s="1"/>
  <c r="P16" i="2" s="1"/>
  <c r="R16" i="2" s="1"/>
  <c r="T16" i="2" s="1"/>
  <c r="V16" i="2" s="1"/>
  <c r="E16" i="2"/>
  <c r="G16" i="2" s="1"/>
  <c r="L15" i="2"/>
  <c r="N15" i="2" s="1"/>
  <c r="P15" i="2" s="1"/>
  <c r="R15" i="2" s="1"/>
  <c r="T15" i="2" s="1"/>
  <c r="V15" i="2" s="1"/>
  <c r="E15" i="2"/>
  <c r="G15" i="2" s="1"/>
  <c r="N14" i="2"/>
  <c r="P14" i="2" s="1"/>
  <c r="R14" i="2" s="1"/>
  <c r="T14" i="2" s="1"/>
  <c r="V14" i="2" s="1"/>
  <c r="E14" i="2"/>
  <c r="G14" i="2" s="1"/>
  <c r="L13" i="2"/>
  <c r="N13" i="2" s="1"/>
  <c r="P13" i="2" s="1"/>
  <c r="R13" i="2" s="1"/>
  <c r="T13" i="2" s="1"/>
  <c r="V13" i="2" s="1"/>
  <c r="E13" i="2"/>
  <c r="G13" i="2" s="1"/>
  <c r="L12" i="2"/>
  <c r="N12" i="2" s="1"/>
  <c r="P12" i="2" s="1"/>
  <c r="R12" i="2" s="1"/>
  <c r="T12" i="2" s="1"/>
  <c r="V12" i="2" s="1"/>
  <c r="E12" i="2"/>
  <c r="G12" i="2" s="1"/>
  <c r="L11" i="2"/>
  <c r="N11" i="2" s="1"/>
  <c r="P11" i="2" s="1"/>
  <c r="R11" i="2" s="1"/>
  <c r="T11" i="2" s="1"/>
  <c r="V11" i="2" s="1"/>
  <c r="E11" i="2"/>
  <c r="G11" i="2" s="1"/>
  <c r="L10" i="2"/>
  <c r="N10" i="2" s="1"/>
  <c r="P10" i="2" s="1"/>
  <c r="R10" i="2" s="1"/>
  <c r="T10" i="2" s="1"/>
  <c r="V10" i="2" s="1"/>
  <c r="E10" i="2"/>
  <c r="G10" i="2" s="1"/>
  <c r="L9" i="2"/>
  <c r="N9" i="2" s="1"/>
  <c r="P9" i="2" s="1"/>
  <c r="R9" i="2" s="1"/>
  <c r="T9" i="2" s="1"/>
  <c r="V9" i="2" s="1"/>
  <c r="L8" i="2"/>
  <c r="N8" i="2" s="1"/>
  <c r="P8" i="2" s="1"/>
  <c r="R8" i="2" s="1"/>
  <c r="T8" i="2" s="1"/>
  <c r="V8" i="2" s="1"/>
  <c r="E8" i="2"/>
  <c r="G8" i="2" s="1"/>
  <c r="L7" i="2"/>
  <c r="N7" i="2" s="1"/>
  <c r="P7" i="2" s="1"/>
  <c r="R7" i="2" s="1"/>
  <c r="T7" i="2" s="1"/>
  <c r="V7" i="2" s="1"/>
  <c r="E7" i="2"/>
  <c r="G7" i="2" s="1"/>
  <c r="L6" i="2"/>
  <c r="N6" i="2" s="1"/>
  <c r="P6" i="2" s="1"/>
  <c r="R6" i="2" s="1"/>
  <c r="T6" i="2" s="1"/>
  <c r="V6" i="2" s="1"/>
  <c r="E6" i="2"/>
  <c r="G6" i="2" s="1"/>
  <c r="L5" i="2"/>
  <c r="N5" i="2" s="1"/>
  <c r="E5" i="2"/>
  <c r="G5" i="2" s="1"/>
  <c r="L4" i="2"/>
  <c r="E4" i="2"/>
  <c r="F32" i="1"/>
  <c r="H32" i="1" s="1"/>
  <c r="K32" i="1" s="1"/>
  <c r="M32" i="1" s="1"/>
  <c r="D31" i="1"/>
  <c r="F31" i="1" s="1"/>
  <c r="H31" i="1" s="1"/>
  <c r="K31" i="1" s="1"/>
  <c r="M31" i="1" s="1"/>
  <c r="S26" i="1"/>
  <c r="R26" i="1"/>
  <c r="L26" i="1"/>
  <c r="O26" i="1"/>
  <c r="S25" i="1"/>
  <c r="R25" i="1"/>
  <c r="L25" i="1"/>
  <c r="O25" i="1"/>
  <c r="S24" i="1"/>
  <c r="R24" i="1"/>
  <c r="L24" i="1"/>
  <c r="O24" i="1"/>
  <c r="S23" i="1"/>
  <c r="R23" i="1"/>
  <c r="L23" i="1"/>
  <c r="O23" i="1"/>
  <c r="S22" i="1"/>
  <c r="R22" i="1"/>
  <c r="L22" i="1"/>
  <c r="O22" i="1"/>
  <c r="S21" i="1"/>
  <c r="R21" i="1"/>
  <c r="L21" i="1"/>
  <c r="O21" i="1"/>
  <c r="S20" i="1"/>
  <c r="R20" i="1"/>
  <c r="O20" i="1"/>
  <c r="S19" i="1"/>
  <c r="R19" i="1"/>
  <c r="L19" i="1"/>
  <c r="O19" i="1"/>
  <c r="S18" i="1"/>
  <c r="R18" i="1"/>
  <c r="L18" i="1"/>
  <c r="O18" i="1"/>
  <c r="S17" i="1"/>
  <c r="R17" i="1"/>
  <c r="L17" i="1"/>
  <c r="O17" i="1"/>
  <c r="S16" i="1"/>
  <c r="R16" i="1"/>
  <c r="S15" i="1"/>
  <c r="R15" i="1"/>
  <c r="L15" i="1"/>
  <c r="O15" i="1"/>
  <c r="S14" i="1"/>
  <c r="R14" i="1"/>
  <c r="L14" i="1"/>
  <c r="O14" i="1"/>
  <c r="S13" i="1"/>
  <c r="R13" i="1"/>
  <c r="L13" i="1"/>
  <c r="O13" i="1"/>
  <c r="S12" i="1"/>
  <c r="R12" i="1"/>
  <c r="L12" i="1"/>
  <c r="O12" i="1"/>
  <c r="S11" i="1"/>
  <c r="R11" i="1"/>
  <c r="L11" i="1"/>
  <c r="O11" i="1"/>
  <c r="S10" i="1"/>
  <c r="R10" i="1"/>
  <c r="L10" i="1"/>
  <c r="O10" i="1"/>
  <c r="S9" i="1"/>
  <c r="R9" i="1"/>
  <c r="L9" i="1"/>
  <c r="O9" i="1"/>
  <c r="S8" i="1"/>
  <c r="R8" i="1"/>
  <c r="L8" i="1"/>
  <c r="O8" i="1"/>
  <c r="S7" i="1"/>
  <c r="R7" i="1"/>
  <c r="L7" i="1"/>
  <c r="E26" i="2" l="1"/>
  <c r="G4" i="2"/>
  <c r="G26" i="2" s="1"/>
  <c r="L26" i="2"/>
  <c r="Z29" i="1"/>
  <c r="L29" i="1"/>
  <c r="N4" i="2"/>
  <c r="N26" i="2" s="1"/>
  <c r="O16" i="1"/>
  <c r="M16" i="1"/>
  <c r="M12" i="1"/>
  <c r="M18" i="1"/>
  <c r="M21" i="1"/>
  <c r="M10" i="1"/>
  <c r="M19" i="1"/>
  <c r="M14" i="1"/>
  <c r="R20" i="2"/>
  <c r="T20" i="2" s="1"/>
  <c r="V20" i="2" s="1"/>
  <c r="M25" i="1"/>
  <c r="M11" i="1"/>
  <c r="M9" i="1"/>
  <c r="M7" i="1"/>
  <c r="M13" i="1"/>
  <c r="M24" i="1"/>
  <c r="M22" i="1"/>
  <c r="M17" i="1"/>
  <c r="M23" i="1"/>
  <c r="O29" i="1"/>
  <c r="M15" i="1"/>
  <c r="O7" i="1"/>
  <c r="M26" i="1"/>
  <c r="P5" i="2"/>
  <c r="R5" i="2" s="1"/>
  <c r="T5" i="2" s="1"/>
  <c r="V5" i="2" s="1"/>
  <c r="M20" i="1"/>
  <c r="M8" i="1"/>
  <c r="M29" i="1" l="1"/>
  <c r="P4" i="2"/>
  <c r="P26" i="2" s="1"/>
  <c r="R4" i="2" l="1"/>
  <c r="R26" i="2" s="1"/>
  <c r="T4" i="2" l="1"/>
  <c r="T26" i="2" s="1"/>
  <c r="V4" i="2" l="1"/>
  <c r="V26" i="2" s="1"/>
</calcChain>
</file>

<file path=xl/sharedStrings.xml><?xml version="1.0" encoding="utf-8"?>
<sst xmlns="http://schemas.openxmlformats.org/spreadsheetml/2006/main" count="264" uniqueCount="118">
  <si>
    <t xml:space="preserve"> </t>
  </si>
  <si>
    <t>Rack Unit Inventory Summary</t>
  </si>
  <si>
    <t xml:space="preserve">Actual </t>
  </si>
  <si>
    <t>Over/Short</t>
  </si>
  <si>
    <t>CONS</t>
  </si>
  <si>
    <t>CALC</t>
  </si>
  <si>
    <t>UNITS</t>
  </si>
  <si>
    <t>UNIT</t>
  </si>
  <si>
    <t>SHIP</t>
  </si>
  <si>
    <t>RACK</t>
  </si>
  <si>
    <t>Calculated</t>
  </si>
  <si>
    <t>UNITS/</t>
  </si>
  <si>
    <t>LINEAR</t>
  </si>
  <si>
    <t>OVER/</t>
  </si>
  <si>
    <t>TO</t>
  </si>
  <si>
    <t>$</t>
  </si>
  <si>
    <t>ACTUAL</t>
  </si>
  <si>
    <t>Average $</t>
  </si>
  <si>
    <t>Sales Per</t>
  </si>
  <si>
    <t>Sell</t>
  </si>
  <si>
    <t>Store</t>
  </si>
  <si>
    <t>After Prod</t>
  </si>
  <si>
    <t>STORE</t>
  </si>
  <si>
    <t>PULL</t>
  </si>
  <si>
    <t>PER LF</t>
  </si>
  <si>
    <t>FEET</t>
  </si>
  <si>
    <t>GOAL</t>
  </si>
  <si>
    <t>PULLED</t>
  </si>
  <si>
    <t>SOLD</t>
  </si>
  <si>
    <t>SHIPPED</t>
  </si>
  <si>
    <t>PROD</t>
  </si>
  <si>
    <t>ON HAND</t>
  </si>
  <si>
    <t>UNDER</t>
  </si>
  <si>
    <t>COUNT</t>
  </si>
  <si>
    <t>Per Unit</t>
  </si>
  <si>
    <t>Linear FT</t>
  </si>
  <si>
    <t>Thru</t>
  </si>
  <si>
    <t>Thur</t>
  </si>
  <si>
    <t>Start</t>
  </si>
  <si>
    <t>Pulls</t>
  </si>
  <si>
    <t>Prod Goal</t>
  </si>
  <si>
    <t>Units Prod</t>
  </si>
  <si>
    <t xml:space="preserve">WOODLAWN  </t>
  </si>
  <si>
    <t xml:space="preserve">CHEVIOT </t>
  </si>
  <si>
    <t>INDEPENDENCE</t>
  </si>
  <si>
    <t>HAMILTON</t>
  </si>
  <si>
    <t>OAKLEY</t>
  </si>
  <si>
    <t xml:space="preserve">LEBANON </t>
  </si>
  <si>
    <t xml:space="preserve">LOVELAND </t>
  </si>
  <si>
    <t xml:space="preserve">BELLEVUE  </t>
  </si>
  <si>
    <t xml:space="preserve">HARRISON   </t>
  </si>
  <si>
    <t xml:space="preserve">FLORENCE </t>
  </si>
  <si>
    <t xml:space="preserve">BATESVILLE </t>
  </si>
  <si>
    <t>FAIRFIELD</t>
  </si>
  <si>
    <t>MASON</t>
  </si>
  <si>
    <t xml:space="preserve">BEECHMONT </t>
  </si>
  <si>
    <t>MT. WASHINGTON</t>
  </si>
  <si>
    <t>MONTGOMERY</t>
  </si>
  <si>
    <t>OXFORD</t>
  </si>
  <si>
    <t>WEST CHESTER</t>
  </si>
  <si>
    <t>LAWRENCEBURG</t>
  </si>
  <si>
    <t>DEERFIELD</t>
  </si>
  <si>
    <t>TOTAL</t>
  </si>
  <si>
    <t>- Sell</t>
  </si>
  <si>
    <t>=</t>
  </si>
  <si>
    <t>- Pull</t>
  </si>
  <si>
    <t>+ Ship</t>
  </si>
  <si>
    <t>+ Cons</t>
  </si>
  <si>
    <t>+ Prod</t>
  </si>
  <si>
    <t>- Goal</t>
  </si>
  <si>
    <t>.</t>
  </si>
  <si>
    <t>Last Week's Start</t>
  </si>
  <si>
    <t xml:space="preserve">This Week's Start </t>
  </si>
  <si>
    <t>Over /</t>
  </si>
  <si>
    <t>Cons</t>
  </si>
  <si>
    <t>Shipped</t>
  </si>
  <si>
    <t>Prod</t>
  </si>
  <si>
    <t>Total In</t>
  </si>
  <si>
    <t>Sold</t>
  </si>
  <si>
    <t>Pull</t>
  </si>
  <si>
    <t>-Sell</t>
  </si>
  <si>
    <t>-Pull</t>
  </si>
  <si>
    <t>Ship</t>
  </si>
  <si>
    <t>+Prod</t>
  </si>
  <si>
    <t>Goal</t>
  </si>
  <si>
    <t>Under</t>
  </si>
  <si>
    <t>WOODLAWN</t>
  </si>
  <si>
    <t>LEBANON</t>
  </si>
  <si>
    <t>LOVELAND</t>
  </si>
  <si>
    <t>BELLEVUE</t>
  </si>
  <si>
    <t>HARRISON</t>
  </si>
  <si>
    <t>FLORENCE</t>
  </si>
  <si>
    <t>BATESVILLE</t>
  </si>
  <si>
    <t>MT WASH</t>
  </si>
  <si>
    <t>TOTALS</t>
  </si>
  <si>
    <t xml:space="preserve">  </t>
  </si>
  <si>
    <t>minus 2500</t>
  </si>
  <si>
    <t>plus 2500</t>
  </si>
  <si>
    <t>plus 9000 florence</t>
  </si>
  <si>
    <t>minus 9000</t>
  </si>
  <si>
    <t>plus 3000</t>
  </si>
  <si>
    <t>minus 5500</t>
  </si>
  <si>
    <t>plus 2000</t>
  </si>
  <si>
    <t>minus 2000</t>
  </si>
  <si>
    <t>LAST WEEK</t>
  </si>
  <si>
    <t>UNITS ON</t>
  </si>
  <si>
    <t>HAND</t>
  </si>
  <si>
    <t>To Actual</t>
  </si>
  <si>
    <t>Variance</t>
  </si>
  <si>
    <t>MT. WASH</t>
  </si>
  <si>
    <t>DELHI</t>
  </si>
  <si>
    <t>End 2/21</t>
  </si>
  <si>
    <t>Week 7</t>
  </si>
  <si>
    <t>Week 14</t>
  </si>
  <si>
    <t>PRINCETON</t>
  </si>
  <si>
    <t>Info from Week 11 Rack Units Report</t>
  </si>
  <si>
    <t>Week 14 2026</t>
  </si>
  <si>
    <t>Woodlawn total consumer pods reported 1800.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</si>
</sst>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</numFmts>
  <fonts count="2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FF000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"/>
      <family val="2"/>
    </font>
    <font>
      <u/>
      <sz val="12"/>
      <name val="Arial Narrow"/>
      <family val="2"/>
    </font>
    <font>
      <b/>
      <u/>
      <sz val="12"/>
      <name val="Arial Narrow"/>
      <family val="2"/>
    </font>
    <font>
      <sz val="12"/>
      <color theme="5" tint="-0.249977111117893"/>
      <name val="Arial Narrow"/>
      <family val="2"/>
    </font>
    <font>
      <sz val="12"/>
      <color rgb="FF7030A0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4"/>
      <name val="Arial Narrow"/>
      <family val="2"/>
    </font>
    <font>
      <sz val="14"/>
      <name val="Arial Narrow"/>
      <family val="2"/>
    </font>
    <font>
      <b/>
      <sz val="12"/>
      <color theme="8" tint="-0.499984740745262"/>
      <name val="Arial Narrow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12"/>
      <color rgb="FF0070C0"/>
      <name val="Arial Narrow"/>
      <family val="2"/>
    </font>
    <font>
      <sz val="1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209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43" fontId="3" fillId="0" borderId="8" xfId="1" applyFont="1" applyFill="1" applyBorder="1" applyAlignment="1" applyProtection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2" fontId="3" fillId="3" borderId="8" xfId="0" quotePrefix="1" applyNumberFormat="1" applyFont="1" applyFill="1" applyBorder="1" applyAlignment="1">
      <alignment horizontal="right" vertical="center"/>
    </xf>
    <xf numFmtId="2" fontId="3" fillId="3" borderId="8" xfId="0" applyNumberFormat="1" applyFont="1" applyFill="1" applyBorder="1" applyAlignment="1">
      <alignment vertical="center"/>
    </xf>
    <xf numFmtId="3" fontId="3" fillId="3" borderId="8" xfId="0" applyNumberFormat="1" applyFont="1" applyFill="1" applyBorder="1" applyAlignment="1">
      <alignment vertical="center"/>
    </xf>
    <xf numFmtId="3" fontId="3" fillId="3" borderId="8" xfId="1" applyNumberFormat="1" applyFont="1" applyFill="1" applyBorder="1" applyAlignment="1" applyProtection="1">
      <alignment vertical="center"/>
    </xf>
    <xf numFmtId="3" fontId="9" fillId="3" borderId="8" xfId="3" applyNumberFormat="1" applyFont="1" applyFill="1" applyBorder="1" applyAlignment="1">
      <alignment horizontal="right"/>
    </xf>
    <xf numFmtId="164" fontId="3" fillId="3" borderId="8" xfId="2" applyNumberFormat="1" applyFont="1" applyFill="1" applyBorder="1" applyAlignment="1" applyProtection="1">
      <alignment vertical="center"/>
    </xf>
    <xf numFmtId="165" fontId="3" fillId="3" borderId="8" xfId="1" applyNumberFormat="1" applyFont="1" applyFill="1" applyBorder="1" applyAlignment="1" applyProtection="1">
      <alignment vertical="center"/>
    </xf>
    <xf numFmtId="166" fontId="3" fillId="3" borderId="8" xfId="0" applyNumberFormat="1" applyFont="1" applyFill="1" applyBorder="1" applyAlignment="1">
      <alignment vertical="center"/>
    </xf>
    <xf numFmtId="9" fontId="3" fillId="3" borderId="8" xfId="0" applyNumberFormat="1" applyFont="1" applyFill="1" applyBorder="1" applyAlignment="1">
      <alignment vertical="center"/>
    </xf>
    <xf numFmtId="9" fontId="3" fillId="3" borderId="11" xfId="0" applyNumberFormat="1" applyFont="1" applyFill="1" applyBorder="1" applyAlignment="1">
      <alignment vertical="center"/>
    </xf>
    <xf numFmtId="41" fontId="0" fillId="0" borderId="0" xfId="0" applyNumberFormat="1"/>
    <xf numFmtId="3" fontId="12" fillId="4" borderId="20" xfId="0" applyNumberFormat="1" applyFont="1" applyFill="1" applyBorder="1" applyAlignment="1">
      <alignment horizontal="center"/>
    </xf>
    <xf numFmtId="0" fontId="10" fillId="0" borderId="7" xfId="0" applyFont="1" applyBorder="1" applyAlignment="1">
      <alignment vertical="center"/>
    </xf>
    <xf numFmtId="2" fontId="3" fillId="0" borderId="8" xfId="0" quotePrefix="1" applyNumberFormat="1" applyFont="1" applyBorder="1" applyAlignment="1">
      <alignment vertical="center"/>
    </xf>
    <xf numFmtId="2" fontId="3" fillId="2" borderId="8" xfId="0" applyNumberFormat="1" applyFont="1" applyFill="1" applyBorder="1" applyAlignment="1">
      <alignment vertical="center"/>
    </xf>
    <xf numFmtId="3" fontId="3" fillId="0" borderId="8" xfId="0" applyNumberFormat="1" applyFont="1" applyBorder="1" applyAlignment="1">
      <alignment vertical="center"/>
    </xf>
    <xf numFmtId="3" fontId="3" fillId="2" borderId="8" xfId="0" applyNumberFormat="1" applyFont="1" applyFill="1" applyBorder="1" applyAlignment="1">
      <alignment vertical="center"/>
    </xf>
    <xf numFmtId="3" fontId="3" fillId="0" borderId="8" xfId="3" applyNumberFormat="1" applyFont="1" applyBorder="1" applyAlignment="1">
      <alignment horizontal="right"/>
    </xf>
    <xf numFmtId="164" fontId="3" fillId="0" borderId="8" xfId="2" applyNumberFormat="1" applyFont="1" applyBorder="1" applyAlignment="1" applyProtection="1">
      <alignment vertical="center"/>
    </xf>
    <xf numFmtId="165" fontId="3" fillId="0" borderId="8" xfId="1" applyNumberFormat="1" applyFont="1" applyBorder="1" applyAlignment="1" applyProtection="1">
      <alignment vertical="center"/>
    </xf>
    <xf numFmtId="3" fontId="0" fillId="0" borderId="0" xfId="0" applyNumberFormat="1"/>
    <xf numFmtId="166" fontId="3" fillId="2" borderId="8" xfId="0" applyNumberFormat="1" applyFont="1" applyFill="1" applyBorder="1" applyAlignment="1">
      <alignment vertical="center"/>
    </xf>
    <xf numFmtId="166" fontId="3" fillId="0" borderId="8" xfId="0" applyNumberFormat="1" applyFont="1" applyBorder="1" applyAlignment="1">
      <alignment vertical="center"/>
    </xf>
    <xf numFmtId="9" fontId="3" fillId="0" borderId="8" xfId="0" applyNumberFormat="1" applyFont="1" applyBorder="1" applyAlignment="1">
      <alignment vertical="center"/>
    </xf>
    <xf numFmtId="9" fontId="3" fillId="0" borderId="11" xfId="0" applyNumberFormat="1" applyFont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3" fontId="3" fillId="3" borderId="8" xfId="3" applyNumberFormat="1" applyFont="1" applyFill="1" applyBorder="1" applyAlignment="1">
      <alignment horizontal="right"/>
    </xf>
    <xf numFmtId="3" fontId="13" fillId="3" borderId="8" xfId="0" applyNumberFormat="1" applyFont="1" applyFill="1" applyBorder="1" applyAlignment="1">
      <alignment vertical="center"/>
    </xf>
    <xf numFmtId="2" fontId="3" fillId="0" borderId="8" xfId="0" applyNumberFormat="1" applyFont="1" applyBorder="1" applyAlignment="1">
      <alignment vertical="center"/>
    </xf>
    <xf numFmtId="3" fontId="3" fillId="2" borderId="8" xfId="1" applyNumberFormat="1" applyFont="1" applyFill="1" applyBorder="1" applyAlignment="1" applyProtection="1">
      <alignment vertical="center"/>
    </xf>
    <xf numFmtId="165" fontId="3" fillId="3" borderId="8" xfId="1" applyNumberFormat="1" applyFont="1" applyFill="1" applyBorder="1" applyAlignment="1" applyProtection="1">
      <alignment horizontal="right" vertical="center"/>
    </xf>
    <xf numFmtId="3" fontId="12" fillId="2" borderId="20" xfId="0" applyNumberFormat="1" applyFont="1" applyFill="1" applyBorder="1" applyAlignment="1">
      <alignment horizontal="center"/>
    </xf>
    <xf numFmtId="3" fontId="9" fillId="0" borderId="8" xfId="3" applyNumberFormat="1" applyFont="1" applyBorder="1" applyAlignment="1">
      <alignment horizontal="right"/>
    </xf>
    <xf numFmtId="3" fontId="3" fillId="0" borderId="8" xfId="0" applyNumberFormat="1" applyFont="1" applyBorder="1"/>
    <xf numFmtId="3" fontId="3" fillId="3" borderId="8" xfId="0" applyNumberFormat="1" applyFont="1" applyFill="1" applyBorder="1"/>
    <xf numFmtId="3" fontId="3" fillId="2" borderId="8" xfId="3" applyNumberFormat="1" applyFont="1" applyFill="1" applyBorder="1" applyAlignment="1">
      <alignment horizontal="right"/>
    </xf>
    <xf numFmtId="3" fontId="14" fillId="0" borderId="8" xfId="0" applyNumberFormat="1" applyFont="1" applyBorder="1" applyAlignment="1">
      <alignment vertical="center"/>
    </xf>
    <xf numFmtId="164" fontId="3" fillId="0" borderId="8" xfId="2" applyNumberFormat="1" applyFont="1" applyFill="1" applyBorder="1" applyAlignment="1" applyProtection="1">
      <alignment vertical="center"/>
    </xf>
    <xf numFmtId="165" fontId="3" fillId="0" borderId="8" xfId="1" applyNumberFormat="1" applyFont="1" applyFill="1" applyBorder="1" applyAlignment="1" applyProtection="1">
      <alignment vertical="center"/>
    </xf>
    <xf numFmtId="2" fontId="3" fillId="3" borderId="8" xfId="0" applyNumberFormat="1" applyFont="1" applyFill="1" applyBorder="1" applyAlignment="1">
      <alignment horizontal="right" vertical="center"/>
    </xf>
    <xf numFmtId="3" fontId="3" fillId="3" borderId="14" xfId="0" applyNumberFormat="1" applyFont="1" applyFill="1" applyBorder="1" applyAlignment="1">
      <alignment vertical="center"/>
    </xf>
    <xf numFmtId="2" fontId="3" fillId="0" borderId="8" xfId="0" applyNumberFormat="1" applyFont="1" applyBorder="1" applyAlignment="1">
      <alignment horizontal="right" vertical="center"/>
    </xf>
    <xf numFmtId="3" fontId="3" fillId="0" borderId="16" xfId="0" applyNumberFormat="1" applyFont="1" applyBorder="1"/>
    <xf numFmtId="3" fontId="3" fillId="2" borderId="0" xfId="0" applyNumberFormat="1" applyFont="1" applyFill="1" applyAlignment="1">
      <alignment vertical="center"/>
    </xf>
    <xf numFmtId="3" fontId="3" fillId="2" borderId="21" xfId="0" applyNumberFormat="1" applyFont="1" applyFill="1" applyBorder="1" applyAlignment="1">
      <alignment vertical="center"/>
    </xf>
    <xf numFmtId="3" fontId="3" fillId="3" borderId="15" xfId="0" applyNumberFormat="1" applyFont="1" applyFill="1" applyBorder="1" applyAlignment="1">
      <alignment vertical="center"/>
    </xf>
    <xf numFmtId="3" fontId="9" fillId="2" borderId="8" xfId="3" applyNumberFormat="1" applyFont="1" applyFill="1" applyBorder="1" applyAlignment="1">
      <alignment horizontal="right"/>
    </xf>
    <xf numFmtId="3" fontId="13" fillId="0" borderId="8" xfId="0" applyNumberFormat="1" applyFont="1" applyBorder="1" applyAlignment="1">
      <alignment vertical="center"/>
    </xf>
    <xf numFmtId="3" fontId="3" fillId="3" borderId="8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vertical="center"/>
    </xf>
    <xf numFmtId="3" fontId="13" fillId="2" borderId="8" xfId="0" applyNumberFormat="1" applyFont="1" applyFill="1" applyBorder="1" applyAlignment="1">
      <alignment vertical="center"/>
    </xf>
    <xf numFmtId="164" fontId="3" fillId="2" borderId="8" xfId="2" applyNumberFormat="1" applyFont="1" applyFill="1" applyBorder="1" applyAlignment="1" applyProtection="1">
      <alignment vertical="center"/>
    </xf>
    <xf numFmtId="165" fontId="3" fillId="2" borderId="8" xfId="1" applyNumberFormat="1" applyFont="1" applyFill="1" applyBorder="1" applyAlignment="1" applyProtection="1">
      <alignment vertical="center"/>
    </xf>
    <xf numFmtId="9" fontId="3" fillId="2" borderId="8" xfId="0" applyNumberFormat="1" applyFont="1" applyFill="1" applyBorder="1" applyAlignment="1">
      <alignment vertical="center"/>
    </xf>
    <xf numFmtId="9" fontId="3" fillId="2" borderId="11" xfId="0" applyNumberFormat="1" applyFont="1" applyFill="1" applyBorder="1" applyAlignment="1">
      <alignment vertical="center"/>
    </xf>
    <xf numFmtId="3" fontId="3" fillId="3" borderId="8" xfId="2" applyNumberFormat="1" applyFont="1" applyFill="1" applyBorder="1" applyAlignment="1" applyProtection="1">
      <alignment vertical="center"/>
    </xf>
    <xf numFmtId="3" fontId="3" fillId="3" borderId="8" xfId="2" applyNumberFormat="1" applyFont="1" applyFill="1" applyBorder="1" applyAlignment="1" applyProtection="1">
      <alignment horizontal="right" vertical="center"/>
    </xf>
    <xf numFmtId="9" fontId="10" fillId="3" borderId="8" xfId="0" applyNumberFormat="1" applyFont="1" applyFill="1" applyBorder="1" applyAlignment="1">
      <alignment vertical="center"/>
    </xf>
    <xf numFmtId="3" fontId="9" fillId="0" borderId="8" xfId="0" applyNumberFormat="1" applyFont="1" applyBorder="1" applyAlignment="1">
      <alignment horizontal="right" vertical="center"/>
    </xf>
    <xf numFmtId="9" fontId="10" fillId="0" borderId="8" xfId="0" applyNumberFormat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/>
    </xf>
    <xf numFmtId="0" fontId="10" fillId="2" borderId="7" xfId="0" applyFont="1" applyFill="1" applyBorder="1" applyAlignment="1">
      <alignment vertical="center"/>
    </xf>
    <xf numFmtId="3" fontId="3" fillId="2" borderId="8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0" fontId="10" fillId="2" borderId="22" xfId="0" applyFont="1" applyFill="1" applyBorder="1" applyAlignment="1">
      <alignment vertical="center"/>
    </xf>
    <xf numFmtId="2" fontId="3" fillId="2" borderId="15" xfId="0" applyNumberFormat="1" applyFont="1" applyFill="1" applyBorder="1" applyAlignment="1">
      <alignment vertical="center"/>
    </xf>
    <xf numFmtId="3" fontId="3" fillId="2" borderId="15" xfId="0" applyNumberFormat="1" applyFont="1" applyFill="1" applyBorder="1" applyAlignment="1">
      <alignment vertical="center"/>
    </xf>
    <xf numFmtId="3" fontId="3" fillId="2" borderId="15" xfId="1" applyNumberFormat="1" applyFont="1" applyFill="1" applyBorder="1" applyAlignment="1" applyProtection="1">
      <alignment vertical="center"/>
    </xf>
    <xf numFmtId="3" fontId="3" fillId="0" borderId="23" xfId="0" applyNumberFormat="1" applyFont="1" applyBorder="1" applyAlignment="1">
      <alignment vertical="center"/>
    </xf>
    <xf numFmtId="3" fontId="3" fillId="2" borderId="15" xfId="0" applyNumberFormat="1" applyFont="1" applyFill="1" applyBorder="1" applyAlignment="1">
      <alignment horizontal="right"/>
    </xf>
    <xf numFmtId="3" fontId="13" fillId="2" borderId="15" xfId="0" applyNumberFormat="1" applyFont="1" applyFill="1" applyBorder="1" applyAlignment="1">
      <alignment vertical="center"/>
    </xf>
    <xf numFmtId="165" fontId="3" fillId="2" borderId="15" xfId="1" applyNumberFormat="1" applyFont="1" applyFill="1" applyBorder="1" applyAlignment="1" applyProtection="1">
      <alignment vertical="center"/>
    </xf>
    <xf numFmtId="9" fontId="3" fillId="2" borderId="0" xfId="0" applyNumberFormat="1" applyFont="1" applyFill="1" applyAlignment="1">
      <alignment vertical="center"/>
    </xf>
    <xf numFmtId="9" fontId="3" fillId="2" borderId="24" xfId="0" applyNumberFormat="1" applyFont="1" applyFill="1" applyBorder="1" applyAlignment="1">
      <alignment vertical="center"/>
    </xf>
    <xf numFmtId="0" fontId="16" fillId="0" borderId="0" xfId="0" applyFont="1"/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quotePrefix="1" applyFont="1" applyBorder="1" applyAlignment="1">
      <alignment horizontal="center" vertical="center"/>
    </xf>
    <xf numFmtId="3" fontId="3" fillId="0" borderId="20" xfId="0" quotePrefix="1" applyNumberFormat="1" applyFont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3" fontId="3" fillId="0" borderId="20" xfId="0" applyNumberFormat="1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/>
    </xf>
    <xf numFmtId="165" fontId="19" fillId="0" borderId="20" xfId="1" applyNumberFormat="1" applyFont="1" applyFill="1" applyBorder="1" applyAlignment="1" applyProtection="1">
      <alignment horizontal="center" vertical="center"/>
    </xf>
    <xf numFmtId="3" fontId="18" fillId="0" borderId="20" xfId="0" quotePrefix="1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0" fontId="5" fillId="0" borderId="8" xfId="0" applyNumberFormat="1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165" fontId="17" fillId="0" borderId="8" xfId="1" applyNumberFormat="1" applyFont="1" applyBorder="1" applyAlignment="1" applyProtection="1">
      <alignment horizontal="left" vertical="center"/>
    </xf>
    <xf numFmtId="3" fontId="17" fillId="0" borderId="8" xfId="0" applyNumberFormat="1" applyFont="1" applyBorder="1" applyAlignment="1">
      <alignment vertical="center"/>
    </xf>
    <xf numFmtId="165" fontId="17" fillId="0" borderId="8" xfId="1" applyNumberFormat="1" applyFont="1" applyBorder="1" applyAlignment="1" applyProtection="1">
      <alignment vertical="center"/>
    </xf>
    <xf numFmtId="0" fontId="17" fillId="0" borderId="8" xfId="0" quotePrefix="1" applyFont="1" applyBorder="1" applyAlignment="1">
      <alignment vertical="center"/>
    </xf>
    <xf numFmtId="3" fontId="17" fillId="0" borderId="8" xfId="0" quotePrefix="1" applyNumberFormat="1" applyFont="1" applyBorder="1" applyAlignment="1">
      <alignment vertical="center"/>
    </xf>
    <xf numFmtId="0" fontId="17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6" fillId="0" borderId="30" xfId="0" applyFont="1" applyBorder="1"/>
    <xf numFmtId="0" fontId="12" fillId="0" borderId="31" xfId="0" applyFont="1" applyBorder="1"/>
    <xf numFmtId="0" fontId="20" fillId="0" borderId="31" xfId="0" applyFont="1" applyBorder="1"/>
    <xf numFmtId="0" fontId="20" fillId="0" borderId="32" xfId="0" applyFont="1" applyBorder="1"/>
    <xf numFmtId="0" fontId="20" fillId="0" borderId="0" xfId="0" applyFont="1"/>
    <xf numFmtId="14" fontId="16" fillId="0" borderId="30" xfId="0" applyNumberFormat="1" applyFont="1" applyBorder="1"/>
    <xf numFmtId="14" fontId="20" fillId="0" borderId="31" xfId="0" applyNumberFormat="1" applyFont="1" applyBorder="1"/>
    <xf numFmtId="0" fontId="12" fillId="0" borderId="33" xfId="0" applyFont="1" applyBorder="1" applyAlignment="1">
      <alignment horizontal="center"/>
    </xf>
    <xf numFmtId="0" fontId="12" fillId="0" borderId="20" xfId="3" applyFont="1" applyBorder="1"/>
    <xf numFmtId="0" fontId="12" fillId="0" borderId="20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12" fillId="0" borderId="20" xfId="3" applyFont="1" applyBorder="1" applyAlignment="1">
      <alignment horizontal="center"/>
    </xf>
    <xf numFmtId="0" fontId="12" fillId="0" borderId="20" xfId="3" quotePrefix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1" fillId="5" borderId="20" xfId="3" applyFill="1" applyBorder="1" applyAlignment="1">
      <alignment vertical="center"/>
    </xf>
    <xf numFmtId="3" fontId="11" fillId="5" borderId="20" xfId="3" applyNumberFormat="1" applyFill="1" applyBorder="1" applyAlignment="1">
      <alignment horizontal="center"/>
    </xf>
    <xf numFmtId="3" fontId="11" fillId="5" borderId="32" xfId="3" applyNumberFormat="1" applyFill="1" applyBorder="1" applyAlignment="1">
      <alignment horizontal="center"/>
    </xf>
    <xf numFmtId="3" fontId="11" fillId="5" borderId="20" xfId="1" applyNumberFormat="1" applyFont="1" applyFill="1" applyBorder="1" applyAlignment="1" applyProtection="1">
      <alignment horizontal="center"/>
    </xf>
    <xf numFmtId="1" fontId="0" fillId="0" borderId="0" xfId="0" applyNumberFormat="1"/>
    <xf numFmtId="0" fontId="11" fillId="0" borderId="20" xfId="3" applyBorder="1" applyAlignment="1">
      <alignment vertical="center"/>
    </xf>
    <xf numFmtId="3" fontId="11" fillId="0" borderId="20" xfId="3" applyNumberFormat="1" applyBorder="1" applyAlignment="1">
      <alignment horizontal="center"/>
    </xf>
    <xf numFmtId="3" fontId="11" fillId="0" borderId="32" xfId="3" applyNumberFormat="1" applyBorder="1" applyAlignment="1">
      <alignment horizontal="center"/>
    </xf>
    <xf numFmtId="3" fontId="11" fillId="0" borderId="20" xfId="1" applyNumberFormat="1" applyFont="1" applyFill="1" applyBorder="1" applyAlignment="1" applyProtection="1">
      <alignment horizontal="center"/>
    </xf>
    <xf numFmtId="3" fontId="11" fillId="2" borderId="20" xfId="3" applyNumberFormat="1" applyFill="1" applyBorder="1" applyAlignment="1">
      <alignment horizontal="center"/>
    </xf>
    <xf numFmtId="0" fontId="11" fillId="2" borderId="20" xfId="3" applyFill="1" applyBorder="1" applyAlignment="1">
      <alignment vertical="center"/>
    </xf>
    <xf numFmtId="3" fontId="11" fillId="2" borderId="32" xfId="3" applyNumberFormat="1" applyFill="1" applyBorder="1" applyAlignment="1">
      <alignment horizontal="center"/>
    </xf>
    <xf numFmtId="3" fontId="11" fillId="2" borderId="20" xfId="1" applyNumberFormat="1" applyFont="1" applyFill="1" applyBorder="1" applyAlignment="1" applyProtection="1">
      <alignment horizontal="center"/>
    </xf>
    <xf numFmtId="3" fontId="22" fillId="0" borderId="20" xfId="1" applyNumberFormat="1" applyFont="1" applyBorder="1" applyAlignment="1" applyProtection="1">
      <alignment horizontal="center"/>
    </xf>
    <xf numFmtId="3" fontId="11" fillId="0" borderId="34" xfId="0" applyNumberFormat="1" applyFont="1" applyBorder="1" applyAlignment="1">
      <alignment horizontal="center"/>
    </xf>
    <xf numFmtId="3" fontId="11" fillId="2" borderId="20" xfId="0" applyNumberFormat="1" applyFont="1" applyFill="1" applyBorder="1" applyAlignment="1">
      <alignment horizontal="center"/>
    </xf>
    <xf numFmtId="3" fontId="20" fillId="0" borderId="34" xfId="0" applyNumberFormat="1" applyFont="1" applyBorder="1" applyAlignment="1">
      <alignment horizontal="center"/>
    </xf>
    <xf numFmtId="0" fontId="20" fillId="0" borderId="0" xfId="0" quotePrefix="1" applyFont="1"/>
    <xf numFmtId="3" fontId="22" fillId="0" borderId="20" xfId="0" applyNumberFormat="1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3" fontId="20" fillId="0" borderId="20" xfId="0" applyNumberFormat="1" applyFont="1" applyBorder="1" applyAlignment="1">
      <alignment horizontal="center"/>
    </xf>
    <xf numFmtId="3" fontId="23" fillId="0" borderId="20" xfId="0" applyNumberFormat="1" applyFont="1" applyBorder="1" applyAlignment="1">
      <alignment horizontal="center"/>
    </xf>
    <xf numFmtId="3" fontId="21" fillId="0" borderId="20" xfId="0" applyNumberFormat="1" applyFont="1" applyBorder="1"/>
    <xf numFmtId="0" fontId="12" fillId="0" borderId="20" xfId="3" applyFont="1" applyBorder="1" applyAlignment="1">
      <alignment horizontal="center" vertical="center"/>
    </xf>
    <xf numFmtId="3" fontId="12" fillId="0" borderId="20" xfId="3" applyNumberFormat="1" applyFont="1" applyBorder="1" applyAlignment="1">
      <alignment horizontal="center"/>
    </xf>
    <xf numFmtId="3" fontId="11" fillId="0" borderId="35" xfId="3" applyNumberFormat="1" applyBorder="1" applyAlignment="1">
      <alignment horizontal="center"/>
    </xf>
    <xf numFmtId="0" fontId="0" fillId="0" borderId="31" xfId="0" applyBorder="1"/>
    <xf numFmtId="0" fontId="12" fillId="0" borderId="0" xfId="3" applyFont="1" applyAlignment="1">
      <alignment horizontal="center"/>
    </xf>
    <xf numFmtId="3" fontId="12" fillId="0" borderId="0" xfId="3" applyNumberFormat="1" applyFont="1" applyAlignment="1">
      <alignment horizontal="center"/>
    </xf>
    <xf numFmtId="165" fontId="0" fillId="0" borderId="0" xfId="1" applyNumberFormat="1" applyFont="1" applyProtection="1"/>
    <xf numFmtId="0" fontId="24" fillId="0" borderId="0" xfId="3" applyFont="1" applyAlignment="1">
      <alignment horizontal="center"/>
    </xf>
    <xf numFmtId="0" fontId="25" fillId="0" borderId="0" xfId="0" applyFont="1"/>
    <xf numFmtId="0" fontId="11" fillId="0" borderId="0" xfId="3" applyAlignment="1">
      <alignment vertical="center"/>
    </xf>
    <xf numFmtId="41" fontId="16" fillId="0" borderId="0" xfId="0" applyNumberFormat="1" applyFont="1"/>
    <xf numFmtId="3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10" fillId="6" borderId="0" xfId="0" applyFont="1" applyFill="1" applyAlignment="1">
      <alignment vertical="center"/>
    </xf>
    <xf numFmtId="3" fontId="12" fillId="0" borderId="20" xfId="0" applyNumberFormat="1" applyFont="1" applyBorder="1" applyAlignment="1">
      <alignment horizontal="center"/>
    </xf>
    <xf numFmtId="3" fontId="3" fillId="2" borderId="23" xfId="1" applyNumberFormat="1" applyFont="1" applyFill="1" applyBorder="1" applyAlignment="1" applyProtection="1">
      <alignment vertical="center"/>
    </xf>
    <xf numFmtId="164" fontId="3" fillId="2" borderId="15" xfId="2" applyNumberFormat="1" applyFont="1" applyFill="1" applyBorder="1" applyAlignment="1" applyProtection="1">
      <alignment vertical="center"/>
    </xf>
    <xf numFmtId="166" fontId="3" fillId="2" borderId="15" xfId="0" applyNumberFormat="1" applyFont="1" applyFill="1" applyBorder="1" applyAlignment="1">
      <alignment vertical="center"/>
    </xf>
    <xf numFmtId="166" fontId="3" fillId="2" borderId="12" xfId="0" applyNumberFormat="1" applyFont="1" applyFill="1" applyBorder="1" applyAlignment="1">
      <alignment vertical="center"/>
    </xf>
    <xf numFmtId="0" fontId="10" fillId="6" borderId="22" xfId="0" applyFont="1" applyFill="1" applyBorder="1" applyAlignment="1">
      <alignment vertical="center"/>
    </xf>
    <xf numFmtId="2" fontId="3" fillId="6" borderId="15" xfId="0" applyNumberFormat="1" applyFont="1" applyFill="1" applyBorder="1" applyAlignment="1">
      <alignment vertical="center"/>
    </xf>
    <xf numFmtId="4" fontId="15" fillId="6" borderId="15" xfId="0" applyNumberFormat="1" applyFont="1" applyFill="1" applyBorder="1" applyAlignment="1">
      <alignment vertical="center"/>
    </xf>
    <xf numFmtId="3" fontId="15" fillId="6" borderId="15" xfId="0" applyNumberFormat="1" applyFont="1" applyFill="1" applyBorder="1" applyAlignment="1">
      <alignment vertical="center"/>
    </xf>
    <xf numFmtId="3" fontId="15" fillId="6" borderId="15" xfId="1" applyNumberFormat="1" applyFont="1" applyFill="1" applyBorder="1" applyAlignment="1" applyProtection="1">
      <alignment vertical="center"/>
    </xf>
    <xf numFmtId="3" fontId="15" fillId="6" borderId="23" xfId="1" applyNumberFormat="1" applyFont="1" applyFill="1" applyBorder="1" applyAlignment="1" applyProtection="1">
      <alignment vertical="center"/>
    </xf>
    <xf numFmtId="164" fontId="15" fillId="6" borderId="15" xfId="2" applyNumberFormat="1" applyFont="1" applyFill="1" applyBorder="1" applyAlignment="1" applyProtection="1">
      <alignment vertical="center"/>
    </xf>
    <xf numFmtId="166" fontId="15" fillId="6" borderId="15" xfId="0" applyNumberFormat="1" applyFont="1" applyFill="1" applyBorder="1" applyAlignment="1">
      <alignment vertical="center"/>
    </xf>
    <xf numFmtId="166" fontId="15" fillId="6" borderId="12" xfId="0" applyNumberFormat="1" applyFont="1" applyFill="1" applyBorder="1" applyAlignment="1">
      <alignment vertical="center"/>
    </xf>
    <xf numFmtId="9" fontId="15" fillId="6" borderId="0" xfId="0" applyNumberFormat="1" applyFont="1" applyFill="1" applyAlignment="1">
      <alignment horizontal="right" vertical="center"/>
    </xf>
    <xf numFmtId="9" fontId="3" fillId="6" borderId="24" xfId="0" applyNumberFormat="1" applyFont="1" applyFill="1" applyBorder="1" applyAlignment="1">
      <alignment horizontal="right" vertical="center"/>
    </xf>
    <xf numFmtId="1" fontId="16" fillId="4" borderId="36" xfId="0" applyNumberFormat="1" applyFont="1" applyFill="1" applyBorder="1" applyAlignment="1">
      <alignment horizontal="center"/>
    </xf>
    <xf numFmtId="3" fontId="27" fillId="7" borderId="0" xfId="0" applyNumberFormat="1" applyFont="1" applyFill="1"/>
    <xf numFmtId="0" fontId="0" fillId="6" borderId="0" xfId="0" applyFill="1"/>
    <xf numFmtId="0" fontId="22" fillId="2" borderId="22" xfId="0" applyFont="1" applyFill="1" applyBorder="1" applyAlignment="1">
      <alignment vertical="center"/>
    </xf>
    <xf numFmtId="0" fontId="28" fillId="0" borderId="0" xfId="0" applyFont="1"/>
    <xf numFmtId="3" fontId="13" fillId="0" borderId="2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3" applyFont="1" applyAlignment="1">
      <alignment horizontal="center"/>
    </xf>
  </cellXfs>
  <cellStyles count="4">
    <cellStyle name="Comma" xfId="1" builtinId="3"/>
    <cellStyle name="Normal" xfId="0" builtinId="0"/>
    <cellStyle name="Normal 2" xfId="3" xr:uid="{BD3A2C1D-D3A4-444A-9B38-01CC4B8659E2}"/>
    <cellStyle name="Percent" xfId="2" builtinId="5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32764</xdr:rowOff>
    </xdr:from>
    <xdr:to>
      <xdr:col>16</xdr:col>
      <xdr:colOff>251002</xdr:colOff>
      <xdr:row>35</xdr:row>
      <xdr:rowOff>13923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213D38-059B-4F17-86E6-74DFE9206F1E}"/>
            </a:ext>
          </a:extLst>
        </xdr:cNvPr>
        <xdr:cNvSpPr txBox="1"/>
      </xdr:nvSpPr>
      <xdr:spPr>
        <a:xfrm>
          <a:off x="0" y="5977678"/>
          <a:ext cx="11418243" cy="71469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In Store production</a:t>
          </a:r>
          <a:r>
            <a:rPr lang="en-US" baseline="0"/>
            <a:t> in</a:t>
          </a:r>
          <a:r>
            <a:rPr lang="en-US"/>
            <a:t>creased from</a:t>
          </a:r>
          <a:r>
            <a:rPr lang="en-US" b="1" baseline="0"/>
            <a:t> </a:t>
          </a:r>
          <a:r>
            <a:rPr lang="en-US" b="1" baseline="0">
              <a:solidFill>
                <a:sysClr val="windowText" lastClr="000000"/>
              </a:solidFill>
            </a:rPr>
            <a:t>122,548 </a:t>
          </a:r>
          <a:r>
            <a:rPr lang="en-US" b="1" baseline="0"/>
            <a:t>to 134,286 </a:t>
          </a:r>
          <a:r>
            <a:rPr lang="en-US"/>
            <a:t>this week.</a:t>
          </a:r>
          <a:r>
            <a:rPr lang="en-US" baseline="0"/>
            <a:t>  </a:t>
          </a:r>
          <a:r>
            <a:rPr lang="en-US"/>
            <a:t>The calculated store shortage </a:t>
          </a:r>
          <a:r>
            <a:rPr lang="en-US" baseline="0"/>
            <a:t>de</a:t>
          </a:r>
          <a:r>
            <a:rPr lang="en-US"/>
            <a:t>creased from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-110,854 to -77,253 </a:t>
          </a:r>
          <a:r>
            <a:rPr lang="en-US"/>
            <a:t> </a:t>
          </a:r>
          <a:r>
            <a:rPr lang="en-US" b="0"/>
            <a:t>Sell-through</a:t>
          </a:r>
          <a:r>
            <a:rPr lang="en-US" b="0" baseline="0"/>
            <a:t> increased from</a:t>
          </a:r>
          <a:r>
            <a:rPr lang="en-US" b="1" baseline="0"/>
            <a:t> 42%. to 45%</a:t>
          </a:r>
          <a:r>
            <a:rPr lang="en-US"/>
            <a:t>  The</a:t>
          </a:r>
          <a:r>
            <a:rPr lang="en-US" baseline="0"/>
            <a:t> next Actual Clothing Count is scheduled for </a:t>
          </a:r>
          <a:r>
            <a:rPr lang="en-US" b="1" baseline="0"/>
            <a:t>April 12th, 2026</a:t>
          </a:r>
          <a:r>
            <a:rPr lang="en-US" baseline="0"/>
            <a:t>.</a:t>
          </a:r>
          <a:endParaRPr lang="en-US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100965</xdr:colOff>
      <xdr:row>29</xdr:row>
      <xdr:rowOff>144780</xdr:rowOff>
    </xdr:from>
    <xdr:ext cx="177546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47B01F-5609-4F84-95D6-90F22C240542}"/>
            </a:ext>
          </a:extLst>
        </xdr:cNvPr>
        <xdr:cNvSpPr txBox="1"/>
      </xdr:nvSpPr>
      <xdr:spPr>
        <a:xfrm>
          <a:off x="3072765" y="5410200"/>
          <a:ext cx="1775460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 sold amount</a:t>
          </a:r>
        </a:p>
        <a:p>
          <a:r>
            <a:rPr lang="en-US" sz="1100"/>
            <a:t>is taken from Counterpoint</a:t>
          </a:r>
        </a:p>
      </xdr:txBody>
    </xdr:sp>
    <xdr:clientData/>
  </xdr:oneCellAnchor>
  <xdr:twoCellAnchor>
    <xdr:from>
      <xdr:col>5</xdr:col>
      <xdr:colOff>190500</xdr:colOff>
      <xdr:row>27</xdr:row>
      <xdr:rowOff>34291</xdr:rowOff>
    </xdr:from>
    <xdr:to>
      <xdr:col>5</xdr:col>
      <xdr:colOff>190500</xdr:colOff>
      <xdr:row>29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9D3C4BE-9300-4D03-AD7C-17210A2B3156}"/>
            </a:ext>
          </a:extLst>
        </xdr:cNvPr>
        <xdr:cNvCxnSpPr/>
      </xdr:nvCxnSpPr>
      <xdr:spPr>
        <a:xfrm flipV="1">
          <a:off x="3672840" y="4949191"/>
          <a:ext cx="0" cy="4305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F10A-8AC9-4C2E-A68D-0E8BAF361453}">
  <sheetPr codeName="Sheet1"/>
  <dimension ref="A1:AC39"/>
  <sheetViews>
    <sheetView tabSelected="1" topLeftCell="A2" zoomScale="90" zoomScaleNormal="141" workbookViewId="0">
      <pane xSplit="1" topLeftCell="B1" activePane="topRight" state="frozen"/>
      <selection activeCell="A4" sqref="A4"/>
      <selection pane="topRight" activeCell="G11" sqref="G11"/>
    </sheetView>
  </sheetViews>
  <sheetFormatPr defaultColWidth="9" defaultRowHeight="13.8" x14ac:dyDescent="0.25"/>
  <cols>
    <col min="1" max="1" width="16.69921875" customWidth="1"/>
    <col min="2" max="2" width="7" customWidth="1"/>
    <col min="3" max="3" width="7.5" customWidth="1"/>
    <col min="4" max="4" width="9.59765625" customWidth="1"/>
    <col min="5" max="5" width="9.09765625" customWidth="1"/>
    <col min="6" max="6" width="10.19921875" customWidth="1"/>
    <col min="7" max="7" width="10" customWidth="1"/>
    <col min="8" max="8" width="11" customWidth="1"/>
    <col min="9" max="9" width="8.59765625" customWidth="1"/>
    <col min="10" max="10" width="7.8984375" customWidth="1"/>
    <col min="11" max="11" width="6.8984375" customWidth="1"/>
    <col min="12" max="12" width="8.59765625" customWidth="1"/>
    <col min="13" max="13" width="7.8984375" customWidth="1"/>
    <col min="14" max="14" width="8.19921875" customWidth="1"/>
    <col min="15" max="15" width="7.69921875" customWidth="1"/>
    <col min="16" max="16" width="9.19921875" customWidth="1"/>
    <col min="17" max="17" width="8.8984375" customWidth="1"/>
    <col min="18" max="18" width="8.59765625" customWidth="1"/>
    <col min="19" max="19" width="8.19921875" customWidth="1"/>
    <col min="20" max="20" width="5.09765625" customWidth="1"/>
    <col min="21" max="21" width="6.8984375" customWidth="1"/>
    <col min="23" max="23" width="9.5" bestFit="1" customWidth="1"/>
    <col min="26" max="26" width="9" customWidth="1"/>
    <col min="27" max="27" width="15.59765625" customWidth="1"/>
    <col min="28" max="29" width="0" hidden="1" customWidth="1"/>
  </cols>
  <sheetData>
    <row r="1" spans="1:29" ht="15.6" x14ac:dyDescent="0.25">
      <c r="A1" s="1" t="s">
        <v>0</v>
      </c>
      <c r="B1" s="2"/>
      <c r="C1" s="2"/>
      <c r="D1" s="2"/>
      <c r="E1" s="2"/>
      <c r="F1" s="198" t="s">
        <v>1</v>
      </c>
      <c r="G1" s="199"/>
      <c r="H1" s="199"/>
      <c r="I1" s="20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9" ht="15.6" x14ac:dyDescent="0.25">
      <c r="A2" s="4"/>
      <c r="B2" s="5"/>
      <c r="C2" s="5"/>
      <c r="D2" s="5"/>
      <c r="G2" s="201">
        <v>46116</v>
      </c>
      <c r="H2" s="202"/>
      <c r="I2" s="6"/>
      <c r="L2" s="5"/>
      <c r="M2" s="5"/>
      <c r="N2" s="5"/>
      <c r="O2" s="5"/>
      <c r="P2" s="5"/>
      <c r="Q2" s="5"/>
      <c r="R2" s="5"/>
      <c r="S2" s="5"/>
      <c r="T2" s="5"/>
      <c r="U2" s="7"/>
      <c r="AB2" t="s">
        <v>2</v>
      </c>
    </row>
    <row r="3" spans="1:29" ht="15.6" x14ac:dyDescent="0.25">
      <c r="A3" s="4"/>
      <c r="B3" s="5"/>
      <c r="C3" s="5"/>
      <c r="D3" s="5"/>
      <c r="E3" s="5"/>
      <c r="F3" s="5"/>
      <c r="G3" s="203" t="s">
        <v>113</v>
      </c>
      <c r="H3" s="204"/>
      <c r="I3" s="5"/>
      <c r="J3" s="205"/>
      <c r="K3" s="5"/>
      <c r="L3" s="5"/>
      <c r="M3" s="5"/>
      <c r="N3" s="5"/>
      <c r="O3" s="5"/>
      <c r="P3" s="5"/>
      <c r="Q3" s="5"/>
      <c r="R3" s="5"/>
      <c r="S3" s="5"/>
      <c r="T3" s="5"/>
      <c r="U3" s="7"/>
      <c r="AB3" t="s">
        <v>3</v>
      </c>
    </row>
    <row r="4" spans="1:29" ht="15.6" x14ac:dyDescent="0.25">
      <c r="A4" s="4"/>
      <c r="B4" s="5"/>
      <c r="C4" s="5"/>
      <c r="D4" s="5"/>
      <c r="E4" s="8"/>
      <c r="F4" s="8" t="s">
        <v>104</v>
      </c>
      <c r="G4" s="9"/>
      <c r="H4" s="10"/>
      <c r="I4" s="11"/>
      <c r="J4" s="206"/>
      <c r="K4" s="8" t="s">
        <v>4</v>
      </c>
      <c r="L4" s="8" t="s">
        <v>5</v>
      </c>
      <c r="M4" s="8" t="s">
        <v>6</v>
      </c>
      <c r="N4" s="8" t="s">
        <v>7</v>
      </c>
      <c r="O4" s="8" t="s">
        <v>8</v>
      </c>
      <c r="P4" s="8" t="s">
        <v>9</v>
      </c>
      <c r="Q4" s="8" t="s">
        <v>0</v>
      </c>
      <c r="R4" s="5"/>
      <c r="S4" s="12"/>
      <c r="T4" s="13">
        <v>2026</v>
      </c>
      <c r="U4" s="14">
        <v>2025</v>
      </c>
      <c r="V4" t="s">
        <v>113</v>
      </c>
      <c r="W4" t="s">
        <v>10</v>
      </c>
      <c r="Y4" t="s">
        <v>10</v>
      </c>
      <c r="Z4" s="196" t="s">
        <v>10</v>
      </c>
      <c r="AB4" t="s">
        <v>111</v>
      </c>
    </row>
    <row r="5" spans="1:29" ht="15.6" x14ac:dyDescent="0.25">
      <c r="A5" s="4" t="s">
        <v>0</v>
      </c>
      <c r="C5" s="8" t="s">
        <v>11</v>
      </c>
      <c r="D5" s="8" t="s">
        <v>12</v>
      </c>
      <c r="E5" s="8" t="s">
        <v>7</v>
      </c>
      <c r="F5" s="8" t="s">
        <v>105</v>
      </c>
      <c r="G5" s="8" t="s">
        <v>6</v>
      </c>
      <c r="H5" s="8" t="s">
        <v>6</v>
      </c>
      <c r="I5" s="8" t="s">
        <v>6</v>
      </c>
      <c r="J5" s="8" t="s">
        <v>6</v>
      </c>
      <c r="K5" s="8" t="s">
        <v>6</v>
      </c>
      <c r="L5" s="8" t="s">
        <v>6</v>
      </c>
      <c r="M5" s="8" t="s">
        <v>13</v>
      </c>
      <c r="N5" s="8" t="s">
        <v>8</v>
      </c>
      <c r="O5" s="8" t="s">
        <v>14</v>
      </c>
      <c r="P5" s="8" t="s">
        <v>15</v>
      </c>
      <c r="Q5" s="8" t="s">
        <v>16</v>
      </c>
      <c r="R5" s="8" t="s">
        <v>17</v>
      </c>
      <c r="S5" s="15" t="s">
        <v>18</v>
      </c>
      <c r="T5" s="13" t="s">
        <v>19</v>
      </c>
      <c r="U5" s="16" t="s">
        <v>19</v>
      </c>
      <c r="V5" s="13" t="s">
        <v>20</v>
      </c>
      <c r="W5" s="13" t="s">
        <v>20</v>
      </c>
      <c r="X5" s="13" t="s">
        <v>20</v>
      </c>
      <c r="Y5" s="13" t="s">
        <v>21</v>
      </c>
      <c r="Z5" s="196" t="s">
        <v>107</v>
      </c>
      <c r="AB5" t="s">
        <v>112</v>
      </c>
    </row>
    <row r="6" spans="1:29" ht="15.6" x14ac:dyDescent="0.25">
      <c r="A6" s="17" t="s">
        <v>22</v>
      </c>
      <c r="B6" s="18" t="s">
        <v>23</v>
      </c>
      <c r="C6" s="19" t="s">
        <v>24</v>
      </c>
      <c r="D6" s="18" t="s">
        <v>25</v>
      </c>
      <c r="E6" s="18" t="s">
        <v>26</v>
      </c>
      <c r="F6" s="18" t="s">
        <v>106</v>
      </c>
      <c r="G6" s="18" t="s">
        <v>27</v>
      </c>
      <c r="H6" s="18" t="s">
        <v>28</v>
      </c>
      <c r="I6" s="18" t="s">
        <v>29</v>
      </c>
      <c r="J6" s="20" t="s">
        <v>30</v>
      </c>
      <c r="K6" s="18" t="s">
        <v>30</v>
      </c>
      <c r="L6" s="18" t="s">
        <v>31</v>
      </c>
      <c r="M6" s="18" t="s">
        <v>32</v>
      </c>
      <c r="N6" s="18" t="s">
        <v>26</v>
      </c>
      <c r="O6" s="18" t="s">
        <v>26</v>
      </c>
      <c r="P6" s="18" t="s">
        <v>28</v>
      </c>
      <c r="Q6" s="18" t="s">
        <v>33</v>
      </c>
      <c r="R6" s="18" t="s">
        <v>34</v>
      </c>
      <c r="S6" s="21" t="s">
        <v>35</v>
      </c>
      <c r="T6" s="22" t="s">
        <v>36</v>
      </c>
      <c r="U6" s="23" t="s">
        <v>37</v>
      </c>
      <c r="V6" s="22" t="s">
        <v>38</v>
      </c>
      <c r="W6" s="22" t="s">
        <v>39</v>
      </c>
      <c r="X6" s="22" t="s">
        <v>40</v>
      </c>
      <c r="Y6" s="22" t="s">
        <v>3</v>
      </c>
      <c r="Z6" s="22" t="s">
        <v>108</v>
      </c>
      <c r="AB6" t="s">
        <v>41</v>
      </c>
    </row>
    <row r="7" spans="1:29" ht="15.6" x14ac:dyDescent="0.3">
      <c r="A7" s="24" t="s">
        <v>42</v>
      </c>
      <c r="B7" s="25">
        <v>4</v>
      </c>
      <c r="C7" s="26">
        <v>15</v>
      </c>
      <c r="D7" s="27">
        <v>2676</v>
      </c>
      <c r="E7" s="27">
        <f>C7*D7</f>
        <v>40140</v>
      </c>
      <c r="F7" s="28">
        <v>26160</v>
      </c>
      <c r="G7" s="28">
        <v>4154</v>
      </c>
      <c r="H7" s="31">
        <v>3708</v>
      </c>
      <c r="I7" s="29"/>
      <c r="J7" s="27">
        <v>11625</v>
      </c>
      <c r="K7" s="27">
        <v>1800</v>
      </c>
      <c r="L7" s="27">
        <f t="shared" ref="L7:L20" si="0">SUM(F7+I7+J7+K7)-(G7+H7)</f>
        <v>31723</v>
      </c>
      <c r="M7" s="27">
        <f t="shared" ref="M7:M27" si="1">L7-E7</f>
        <v>-8417</v>
      </c>
      <c r="N7" s="27">
        <v>0</v>
      </c>
      <c r="O7" s="30">
        <f t="shared" ref="O7:O29" si="2">SUM(N7/E7)</f>
        <v>0</v>
      </c>
      <c r="P7" s="31">
        <v>19650.36</v>
      </c>
      <c r="Q7" s="28"/>
      <c r="R7" s="32">
        <f t="shared" ref="R7:R26" si="3">SUM(P7/H7)</f>
        <v>5.2994498381877024</v>
      </c>
      <c r="S7" s="32">
        <f t="shared" ref="S7:S26" si="4">P7/D7</f>
        <v>7.3431838565022423</v>
      </c>
      <c r="T7" s="33">
        <v>0.38294437405484938</v>
      </c>
      <c r="U7" s="34">
        <v>0.3156064461407973</v>
      </c>
      <c r="V7" s="35">
        <v>26160</v>
      </c>
      <c r="W7" s="35">
        <v>9966</v>
      </c>
      <c r="X7" s="35">
        <v>10395</v>
      </c>
      <c r="Y7" s="36">
        <v>-9896</v>
      </c>
      <c r="Z7" s="45"/>
      <c r="AA7" s="24" t="s">
        <v>42</v>
      </c>
      <c r="AB7" s="173">
        <v>2586</v>
      </c>
      <c r="AC7" s="24" t="s">
        <v>42</v>
      </c>
    </row>
    <row r="8" spans="1:29" ht="15.6" x14ac:dyDescent="0.3">
      <c r="A8" s="37" t="s">
        <v>43</v>
      </c>
      <c r="B8" s="38">
        <v>4</v>
      </c>
      <c r="C8" s="39">
        <v>15</v>
      </c>
      <c r="D8" s="40">
        <v>1354</v>
      </c>
      <c r="E8" s="41">
        <f t="shared" ref="E8:E28" si="5">C8*D8</f>
        <v>20310</v>
      </c>
      <c r="F8" s="45">
        <v>14830</v>
      </c>
      <c r="G8" s="40">
        <v>2554</v>
      </c>
      <c r="H8" s="44">
        <v>1249</v>
      </c>
      <c r="I8" s="42"/>
      <c r="J8" s="40">
        <v>5175</v>
      </c>
      <c r="K8" s="40"/>
      <c r="L8" s="41">
        <f t="shared" si="0"/>
        <v>16202</v>
      </c>
      <c r="M8" s="41">
        <f t="shared" si="1"/>
        <v>-4108</v>
      </c>
      <c r="N8" s="41">
        <v>0</v>
      </c>
      <c r="O8" s="43">
        <f t="shared" si="2"/>
        <v>0</v>
      </c>
      <c r="P8" s="44">
        <v>7363.46</v>
      </c>
      <c r="Q8" s="45"/>
      <c r="R8" s="46">
        <f t="shared" si="3"/>
        <v>5.8954843875100078</v>
      </c>
      <c r="S8" s="47">
        <f t="shared" si="4"/>
        <v>5.4383013293943874</v>
      </c>
      <c r="T8" s="48">
        <v>0.3480975893116468</v>
      </c>
      <c r="U8" s="49">
        <v>0.35752212389380533</v>
      </c>
      <c r="V8" s="35">
        <v>14830</v>
      </c>
      <c r="W8" s="35">
        <v>3571</v>
      </c>
      <c r="X8" s="35">
        <v>4295</v>
      </c>
      <c r="Y8" s="36">
        <v>-4633</v>
      </c>
      <c r="Z8" s="45"/>
      <c r="AA8" s="37" t="s">
        <v>43</v>
      </c>
      <c r="AB8" s="174">
        <v>1125</v>
      </c>
      <c r="AC8" s="37" t="s">
        <v>43</v>
      </c>
    </row>
    <row r="9" spans="1:29" ht="15.6" x14ac:dyDescent="0.3">
      <c r="A9" s="50" t="s">
        <v>44</v>
      </c>
      <c r="B9" s="26">
        <v>4</v>
      </c>
      <c r="C9" s="26">
        <v>16</v>
      </c>
      <c r="D9" s="27">
        <v>772</v>
      </c>
      <c r="E9" s="27">
        <f t="shared" si="5"/>
        <v>12352</v>
      </c>
      <c r="F9" s="31">
        <v>8398</v>
      </c>
      <c r="G9" s="27">
        <v>1549</v>
      </c>
      <c r="H9" s="31">
        <v>1503</v>
      </c>
      <c r="I9" s="51"/>
      <c r="J9" s="27">
        <v>3656</v>
      </c>
      <c r="K9" s="52"/>
      <c r="L9" s="27">
        <f t="shared" si="0"/>
        <v>9002</v>
      </c>
      <c r="M9" s="27">
        <f t="shared" si="1"/>
        <v>-3350</v>
      </c>
      <c r="N9" s="27">
        <v>0</v>
      </c>
      <c r="O9" s="30">
        <f t="shared" si="2"/>
        <v>0</v>
      </c>
      <c r="P9" s="31">
        <v>8645.2099999999991</v>
      </c>
      <c r="Q9" s="31"/>
      <c r="R9" s="32">
        <f t="shared" si="3"/>
        <v>5.7519693945442443</v>
      </c>
      <c r="S9" s="32">
        <f t="shared" si="4"/>
        <v>11.198458549222797</v>
      </c>
      <c r="T9" s="33">
        <v>0.46444632731538815</v>
      </c>
      <c r="U9" s="34">
        <v>0.56766943533189085</v>
      </c>
      <c r="V9" s="35">
        <v>8398</v>
      </c>
      <c r="W9" s="35">
        <v>1178</v>
      </c>
      <c r="X9" s="35">
        <v>4120</v>
      </c>
      <c r="Y9" s="36">
        <v>-1911</v>
      </c>
      <c r="Z9" s="45"/>
      <c r="AA9" s="50" t="s">
        <v>44</v>
      </c>
      <c r="AB9" s="174">
        <v>-276</v>
      </c>
      <c r="AC9" s="50" t="s">
        <v>44</v>
      </c>
    </row>
    <row r="10" spans="1:29" ht="15.6" x14ac:dyDescent="0.3">
      <c r="A10" s="37" t="s">
        <v>45</v>
      </c>
      <c r="B10" s="53">
        <v>4</v>
      </c>
      <c r="C10" s="39">
        <v>16.5</v>
      </c>
      <c r="D10" s="40">
        <v>1088</v>
      </c>
      <c r="E10" s="41">
        <f t="shared" si="5"/>
        <v>17952</v>
      </c>
      <c r="F10" s="44">
        <v>14586</v>
      </c>
      <c r="G10" s="40">
        <v>4096</v>
      </c>
      <c r="H10" s="44">
        <v>2871</v>
      </c>
      <c r="I10" s="42"/>
      <c r="J10" s="40">
        <v>6750</v>
      </c>
      <c r="K10" s="40"/>
      <c r="L10" s="41">
        <f t="shared" si="0"/>
        <v>14369</v>
      </c>
      <c r="M10" s="40">
        <f t="shared" si="1"/>
        <v>-3583</v>
      </c>
      <c r="N10" s="41">
        <v>0</v>
      </c>
      <c r="O10" s="43">
        <f t="shared" si="2"/>
        <v>0</v>
      </c>
      <c r="P10" s="44">
        <v>16567.62</v>
      </c>
      <c r="Q10" s="44"/>
      <c r="R10" s="46">
        <f t="shared" si="3"/>
        <v>5.7706792058516196</v>
      </c>
      <c r="S10" s="47">
        <f t="shared" si="4"/>
        <v>15.227591911764705</v>
      </c>
      <c r="T10" s="48">
        <v>0.47867403314917129</v>
      </c>
      <c r="U10" s="49">
        <v>0.45801554979637171</v>
      </c>
      <c r="V10" s="35">
        <v>14586</v>
      </c>
      <c r="W10" s="35">
        <v>3313</v>
      </c>
      <c r="X10" s="35">
        <v>6750</v>
      </c>
      <c r="Y10" s="36">
        <v>-3017</v>
      </c>
      <c r="Z10" s="45"/>
      <c r="AA10" s="37" t="s">
        <v>45</v>
      </c>
      <c r="AB10" s="173">
        <v>-550</v>
      </c>
      <c r="AC10" s="37" t="s">
        <v>45</v>
      </c>
    </row>
    <row r="11" spans="1:29" ht="15.6" x14ac:dyDescent="0.3">
      <c r="A11" s="24" t="s">
        <v>46</v>
      </c>
      <c r="B11" s="26">
        <v>4</v>
      </c>
      <c r="C11" s="26">
        <v>16</v>
      </c>
      <c r="D11" s="27">
        <v>922</v>
      </c>
      <c r="E11" s="27">
        <f t="shared" si="5"/>
        <v>14752</v>
      </c>
      <c r="F11" s="28">
        <v>15864</v>
      </c>
      <c r="G11" s="27">
        <v>2486</v>
      </c>
      <c r="H11" s="55">
        <v>3191</v>
      </c>
      <c r="I11" s="51"/>
      <c r="J11" s="27">
        <v>7350</v>
      </c>
      <c r="K11" s="27"/>
      <c r="L11" s="27">
        <f t="shared" si="0"/>
        <v>17537</v>
      </c>
      <c r="M11" s="27">
        <f t="shared" si="1"/>
        <v>2785</v>
      </c>
      <c r="N11" s="27">
        <v>0</v>
      </c>
      <c r="O11" s="30">
        <f t="shared" si="2"/>
        <v>0</v>
      </c>
      <c r="P11" s="55">
        <v>19486.09</v>
      </c>
      <c r="Q11" s="28"/>
      <c r="R11" s="32">
        <f t="shared" si="3"/>
        <v>6.1065778752742084</v>
      </c>
      <c r="S11" s="32">
        <f t="shared" si="4"/>
        <v>21.134587852494576</v>
      </c>
      <c r="T11" s="33">
        <v>0.46850088183421518</v>
      </c>
      <c r="U11" s="34">
        <v>0.50914066776135747</v>
      </c>
      <c r="V11" s="35">
        <v>15864</v>
      </c>
      <c r="W11" s="35">
        <v>4705</v>
      </c>
      <c r="X11" s="35">
        <v>8955</v>
      </c>
      <c r="Y11" s="176">
        <v>3844</v>
      </c>
      <c r="Z11" s="45"/>
      <c r="AA11" s="24" t="s">
        <v>46</v>
      </c>
      <c r="AB11" s="174">
        <v>0</v>
      </c>
      <c r="AC11" s="24" t="s">
        <v>46</v>
      </c>
    </row>
    <row r="12" spans="1:29" ht="15.6" x14ac:dyDescent="0.3">
      <c r="A12" s="37" t="s">
        <v>47</v>
      </c>
      <c r="B12" s="53">
        <v>4</v>
      </c>
      <c r="C12" s="39">
        <v>16</v>
      </c>
      <c r="D12" s="40">
        <v>1296</v>
      </c>
      <c r="E12" s="41">
        <f t="shared" si="5"/>
        <v>20736</v>
      </c>
      <c r="F12" s="54">
        <v>12968</v>
      </c>
      <c r="G12" s="40">
        <v>2758</v>
      </c>
      <c r="H12" s="44">
        <v>1899</v>
      </c>
      <c r="I12" s="57"/>
      <c r="J12" s="41">
        <v>7185</v>
      </c>
      <c r="K12" s="58"/>
      <c r="L12" s="41">
        <f t="shared" si="0"/>
        <v>15496</v>
      </c>
      <c r="M12" s="41">
        <f t="shared" si="1"/>
        <v>-5240</v>
      </c>
      <c r="N12" s="41">
        <v>0</v>
      </c>
      <c r="O12" s="43">
        <f t="shared" si="2"/>
        <v>0</v>
      </c>
      <c r="P12" s="44">
        <v>11846.23</v>
      </c>
      <c r="Q12" s="54"/>
      <c r="R12" s="46">
        <f t="shared" si="3"/>
        <v>6.2381411269088991</v>
      </c>
      <c r="S12" s="47">
        <f t="shared" si="4"/>
        <v>9.1406095679012349</v>
      </c>
      <c r="T12" s="48">
        <v>0.41788617886178864</v>
      </c>
      <c r="U12" s="49">
        <v>0.49121103730199284</v>
      </c>
      <c r="V12" s="35">
        <v>12968</v>
      </c>
      <c r="W12" s="35">
        <v>4981</v>
      </c>
      <c r="X12" s="35">
        <v>7185</v>
      </c>
      <c r="Y12" s="36">
        <v>-4935</v>
      </c>
      <c r="Z12" s="45"/>
      <c r="AA12" s="37" t="s">
        <v>47</v>
      </c>
      <c r="AB12" s="174">
        <v>-1050</v>
      </c>
      <c r="AC12" s="37" t="s">
        <v>47</v>
      </c>
    </row>
    <row r="13" spans="1:29" ht="15.6" x14ac:dyDescent="0.3">
      <c r="A13" s="24" t="s">
        <v>48</v>
      </c>
      <c r="B13" s="26">
        <v>4</v>
      </c>
      <c r="C13" s="26">
        <v>15</v>
      </c>
      <c r="D13" s="27">
        <v>1734</v>
      </c>
      <c r="E13" s="27">
        <f t="shared" si="5"/>
        <v>26010</v>
      </c>
      <c r="F13" s="31">
        <v>19838</v>
      </c>
      <c r="G13" s="28">
        <v>2599</v>
      </c>
      <c r="H13" s="31">
        <v>2600</v>
      </c>
      <c r="I13" s="51"/>
      <c r="J13" s="27">
        <v>7350</v>
      </c>
      <c r="K13" s="59"/>
      <c r="L13" s="27">
        <f t="shared" si="0"/>
        <v>21989</v>
      </c>
      <c r="M13" s="27">
        <f t="shared" si="1"/>
        <v>-4021</v>
      </c>
      <c r="N13" s="27">
        <v>0</v>
      </c>
      <c r="O13" s="30">
        <f t="shared" si="2"/>
        <v>0</v>
      </c>
      <c r="P13" s="31">
        <v>15376.51</v>
      </c>
      <c r="Q13" s="31"/>
      <c r="R13" s="32">
        <f t="shared" si="3"/>
        <v>5.9140423076923074</v>
      </c>
      <c r="S13" s="32">
        <f t="shared" si="4"/>
        <v>8.8676528258362168</v>
      </c>
      <c r="T13" s="33">
        <v>0.41866666666666669</v>
      </c>
      <c r="U13" s="34">
        <v>0.44667955024595923</v>
      </c>
      <c r="V13" s="35">
        <v>19838</v>
      </c>
      <c r="W13" s="35">
        <v>4682</v>
      </c>
      <c r="X13" s="35">
        <v>7085</v>
      </c>
      <c r="Y13" s="36">
        <v>-4218</v>
      </c>
      <c r="Z13" s="45"/>
      <c r="AA13" s="24" t="s">
        <v>48</v>
      </c>
      <c r="AB13" s="173">
        <v>1275</v>
      </c>
      <c r="AC13" s="24" t="s">
        <v>48</v>
      </c>
    </row>
    <row r="14" spans="1:29" ht="16.5" customHeight="1" x14ac:dyDescent="0.3">
      <c r="A14" s="37" t="s">
        <v>49</v>
      </c>
      <c r="B14" s="53">
        <v>4</v>
      </c>
      <c r="C14" s="39">
        <v>15</v>
      </c>
      <c r="D14" s="40">
        <v>1694</v>
      </c>
      <c r="E14" s="41">
        <f t="shared" si="5"/>
        <v>25410</v>
      </c>
      <c r="F14" s="54">
        <v>20152</v>
      </c>
      <c r="G14" s="40">
        <v>3172</v>
      </c>
      <c r="H14" s="63">
        <v>3383</v>
      </c>
      <c r="I14" s="60"/>
      <c r="J14" s="41">
        <v>8190</v>
      </c>
      <c r="K14" s="61"/>
      <c r="L14" s="41">
        <f t="shared" si="0"/>
        <v>21787</v>
      </c>
      <c r="M14" s="41">
        <f>L14-E14</f>
        <v>-3623</v>
      </c>
      <c r="N14" s="41">
        <v>0</v>
      </c>
      <c r="O14" s="62">
        <f t="shared" si="2"/>
        <v>0</v>
      </c>
      <c r="P14" s="63">
        <v>21878.89</v>
      </c>
      <c r="Q14" s="54"/>
      <c r="R14" s="47">
        <f t="shared" si="3"/>
        <v>6.4673041678983152</v>
      </c>
      <c r="S14" s="47">
        <f t="shared" si="4"/>
        <v>12.91551948051948</v>
      </c>
      <c r="T14" s="48">
        <v>0.4621864951768489</v>
      </c>
      <c r="U14" s="49">
        <v>0.39934291581108827</v>
      </c>
      <c r="V14" s="35">
        <v>20152</v>
      </c>
      <c r="W14" s="35">
        <v>4316</v>
      </c>
      <c r="X14" s="35">
        <v>7635</v>
      </c>
      <c r="Y14" s="36">
        <v>-3687</v>
      </c>
      <c r="Z14" s="45"/>
      <c r="AA14" s="37" t="s">
        <v>49</v>
      </c>
      <c r="AB14" s="174">
        <v>75</v>
      </c>
      <c r="AC14" s="37" t="s">
        <v>49</v>
      </c>
    </row>
    <row r="15" spans="1:29" ht="15.6" x14ac:dyDescent="0.3">
      <c r="A15" s="24" t="s">
        <v>50</v>
      </c>
      <c r="B15" s="64">
        <v>4</v>
      </c>
      <c r="C15" s="26">
        <v>16.5</v>
      </c>
      <c r="D15" s="27">
        <v>1452</v>
      </c>
      <c r="E15" s="27">
        <f t="shared" si="5"/>
        <v>23958</v>
      </c>
      <c r="F15" s="28">
        <v>14758</v>
      </c>
      <c r="G15" s="27">
        <v>3339</v>
      </c>
      <c r="H15" s="31">
        <v>2876</v>
      </c>
      <c r="I15" s="29"/>
      <c r="J15" s="27">
        <v>7685</v>
      </c>
      <c r="K15" s="27"/>
      <c r="L15" s="65">
        <f t="shared" si="0"/>
        <v>16228</v>
      </c>
      <c r="M15" s="27">
        <f t="shared" si="1"/>
        <v>-7730</v>
      </c>
      <c r="N15" s="27">
        <v>0</v>
      </c>
      <c r="O15" s="30">
        <f t="shared" si="2"/>
        <v>0</v>
      </c>
      <c r="P15" s="31">
        <v>16447.73</v>
      </c>
      <c r="Q15" s="28"/>
      <c r="R15" s="32">
        <f t="shared" si="3"/>
        <v>5.7189603616133518</v>
      </c>
      <c r="S15" s="32">
        <f t="shared" si="4"/>
        <v>11.327637741046832</v>
      </c>
      <c r="T15" s="33">
        <v>0.44630303030303031</v>
      </c>
      <c r="U15" s="34">
        <v>0.4626939970717423</v>
      </c>
      <c r="V15" s="35">
        <v>14758</v>
      </c>
      <c r="W15" s="35">
        <v>4374</v>
      </c>
      <c r="X15" s="35">
        <v>7650</v>
      </c>
      <c r="Y15" s="36">
        <v>-7330</v>
      </c>
      <c r="Z15" s="45"/>
      <c r="AA15" s="24" t="s">
        <v>50</v>
      </c>
      <c r="AB15" s="173">
        <v>-60</v>
      </c>
      <c r="AC15" s="24" t="s">
        <v>50</v>
      </c>
    </row>
    <row r="16" spans="1:29" ht="15.6" x14ac:dyDescent="0.3">
      <c r="A16" s="37" t="s">
        <v>51</v>
      </c>
      <c r="B16" s="66">
        <v>4</v>
      </c>
      <c r="C16" s="39">
        <v>15</v>
      </c>
      <c r="D16" s="40">
        <v>1292</v>
      </c>
      <c r="E16" s="41">
        <f t="shared" si="5"/>
        <v>19380</v>
      </c>
      <c r="F16" s="44">
        <v>18517</v>
      </c>
      <c r="G16" s="41">
        <v>2579</v>
      </c>
      <c r="H16" s="44">
        <v>4520</v>
      </c>
      <c r="I16" s="42"/>
      <c r="J16" s="41">
        <v>8475</v>
      </c>
      <c r="K16" s="67"/>
      <c r="L16" s="68">
        <f t="shared" si="0"/>
        <v>19893</v>
      </c>
      <c r="M16" s="69">
        <f t="shared" si="1"/>
        <v>513</v>
      </c>
      <c r="N16" s="41">
        <v>0</v>
      </c>
      <c r="O16" s="76">
        <f t="shared" si="2"/>
        <v>0</v>
      </c>
      <c r="P16" s="44">
        <v>26111.24</v>
      </c>
      <c r="Q16" s="44"/>
      <c r="R16" s="46">
        <f t="shared" si="3"/>
        <v>5.7768230088495578</v>
      </c>
      <c r="S16" s="47">
        <f t="shared" si="4"/>
        <v>20.209938080495359</v>
      </c>
      <c r="T16" s="48">
        <v>0.67243491577335379</v>
      </c>
      <c r="U16" s="49">
        <v>0.60530464945166607</v>
      </c>
      <c r="V16" s="35">
        <v>18517</v>
      </c>
      <c r="W16" s="35">
        <v>2390</v>
      </c>
      <c r="X16" s="35">
        <v>8010</v>
      </c>
      <c r="Y16" s="56">
        <v>1613</v>
      </c>
      <c r="Z16" s="45"/>
      <c r="AA16" s="37" t="s">
        <v>51</v>
      </c>
      <c r="AB16" s="173">
        <v>-5700</v>
      </c>
      <c r="AC16" s="37" t="s">
        <v>51</v>
      </c>
    </row>
    <row r="17" spans="1:29" ht="15.6" x14ac:dyDescent="0.3">
      <c r="A17" s="24" t="s">
        <v>52</v>
      </c>
      <c r="B17" s="26">
        <v>4</v>
      </c>
      <c r="C17" s="26">
        <v>15</v>
      </c>
      <c r="D17" s="27">
        <v>1060</v>
      </c>
      <c r="E17" s="27">
        <f t="shared" si="5"/>
        <v>15900</v>
      </c>
      <c r="F17" s="28">
        <v>11174</v>
      </c>
      <c r="G17" s="27">
        <v>2886</v>
      </c>
      <c r="H17" s="31">
        <v>1576</v>
      </c>
      <c r="I17" s="51"/>
      <c r="J17" s="27">
        <v>5318</v>
      </c>
      <c r="K17" s="27"/>
      <c r="L17" s="70">
        <f t="shared" si="0"/>
        <v>12030</v>
      </c>
      <c r="M17" s="27">
        <f t="shared" si="1"/>
        <v>-3870</v>
      </c>
      <c r="N17" s="27">
        <v>0</v>
      </c>
      <c r="O17" s="30">
        <f t="shared" si="2"/>
        <v>0</v>
      </c>
      <c r="P17" s="31">
        <v>8834.64</v>
      </c>
      <c r="Q17" s="28"/>
      <c r="R17" s="32">
        <f t="shared" si="3"/>
        <v>5.6057360406091368</v>
      </c>
      <c r="S17" s="32">
        <f t="shared" si="4"/>
        <v>8.3345660377358488</v>
      </c>
      <c r="T17" s="33">
        <v>0.37936905358037054</v>
      </c>
      <c r="U17" s="34">
        <v>0.39778574769998443</v>
      </c>
      <c r="V17" s="35">
        <v>11174</v>
      </c>
      <c r="W17" s="35">
        <v>3096</v>
      </c>
      <c r="X17" s="35">
        <v>4050</v>
      </c>
      <c r="Y17" s="36">
        <v>-4492</v>
      </c>
      <c r="Z17" s="45"/>
      <c r="AA17" s="24" t="s">
        <v>52</v>
      </c>
      <c r="AB17" s="173">
        <v>-134</v>
      </c>
      <c r="AC17" s="24" t="s">
        <v>52</v>
      </c>
    </row>
    <row r="18" spans="1:29" ht="15.6" x14ac:dyDescent="0.3">
      <c r="A18" s="37" t="s">
        <v>53</v>
      </c>
      <c r="B18" s="53">
        <v>4</v>
      </c>
      <c r="C18" s="39">
        <v>15</v>
      </c>
      <c r="D18" s="41">
        <v>1932</v>
      </c>
      <c r="E18" s="41">
        <f t="shared" si="5"/>
        <v>28980</v>
      </c>
      <c r="F18" s="54">
        <v>17022</v>
      </c>
      <c r="G18" s="40">
        <v>5520</v>
      </c>
      <c r="H18" s="63">
        <v>2803</v>
      </c>
      <c r="I18" s="71"/>
      <c r="J18" s="40">
        <v>7875</v>
      </c>
      <c r="K18" s="72"/>
      <c r="L18" s="41">
        <f t="shared" si="0"/>
        <v>16574</v>
      </c>
      <c r="M18" s="41">
        <f t="shared" si="1"/>
        <v>-12406</v>
      </c>
      <c r="N18" s="41">
        <v>0</v>
      </c>
      <c r="O18" s="62">
        <f t="shared" si="2"/>
        <v>0</v>
      </c>
      <c r="P18" s="63">
        <v>16891.34</v>
      </c>
      <c r="Q18" s="54"/>
      <c r="R18" s="46">
        <f t="shared" si="3"/>
        <v>6.0261648234034961</v>
      </c>
      <c r="S18" s="47">
        <f t="shared" si="4"/>
        <v>8.7429296066252586</v>
      </c>
      <c r="T18" s="48">
        <v>0.43181818181818182</v>
      </c>
      <c r="U18" s="49">
        <v>0.54636329017517138</v>
      </c>
      <c r="V18" s="35">
        <v>17022</v>
      </c>
      <c r="W18" s="35">
        <v>5310</v>
      </c>
      <c r="X18" s="35">
        <v>8635</v>
      </c>
      <c r="Y18" s="36">
        <v>-11884</v>
      </c>
      <c r="Z18" s="45"/>
      <c r="AA18" s="37" t="s">
        <v>53</v>
      </c>
      <c r="AB18" s="174">
        <v>1275</v>
      </c>
      <c r="AC18" s="37" t="s">
        <v>53</v>
      </c>
    </row>
    <row r="19" spans="1:29" ht="15.6" x14ac:dyDescent="0.3">
      <c r="A19" s="24" t="s">
        <v>54</v>
      </c>
      <c r="B19" s="26">
        <v>4</v>
      </c>
      <c r="C19" s="26">
        <v>16.5</v>
      </c>
      <c r="D19" s="27">
        <v>200</v>
      </c>
      <c r="E19" s="27">
        <f t="shared" si="5"/>
        <v>3300</v>
      </c>
      <c r="F19" s="27">
        <v>2926</v>
      </c>
      <c r="G19" s="27">
        <v>1341</v>
      </c>
      <c r="H19" s="31">
        <v>313</v>
      </c>
      <c r="I19" s="73"/>
      <c r="J19" s="27">
        <v>1012</v>
      </c>
      <c r="K19" s="27"/>
      <c r="L19" s="27">
        <f t="shared" si="0"/>
        <v>2284</v>
      </c>
      <c r="M19" s="27">
        <f t="shared" si="1"/>
        <v>-1016</v>
      </c>
      <c r="N19" s="27">
        <v>0</v>
      </c>
      <c r="O19" s="30">
        <f t="shared" si="2"/>
        <v>0</v>
      </c>
      <c r="P19" s="31">
        <v>2329.37</v>
      </c>
      <c r="Q19" s="27"/>
      <c r="R19" s="32">
        <f t="shared" si="3"/>
        <v>7.4420766773162939</v>
      </c>
      <c r="S19" s="32">
        <f t="shared" si="4"/>
        <v>11.646849999999999</v>
      </c>
      <c r="T19" s="33">
        <v>0.30326768128916742</v>
      </c>
      <c r="U19" s="34">
        <v>0.29705950451493401</v>
      </c>
      <c r="V19" s="35">
        <v>2926</v>
      </c>
      <c r="W19" s="35">
        <v>878</v>
      </c>
      <c r="X19" s="35">
        <v>1575</v>
      </c>
      <c r="Y19" s="36">
        <v>-632</v>
      </c>
      <c r="Z19" s="45"/>
      <c r="AA19" s="24" t="s">
        <v>54</v>
      </c>
      <c r="AB19" s="174">
        <v>-100</v>
      </c>
      <c r="AC19" s="24" t="s">
        <v>54</v>
      </c>
    </row>
    <row r="20" spans="1:29" ht="15.6" x14ac:dyDescent="0.3">
      <c r="A20" s="74" t="s">
        <v>55</v>
      </c>
      <c r="B20" s="39">
        <v>4</v>
      </c>
      <c r="C20" s="39">
        <v>15</v>
      </c>
      <c r="D20" s="41">
        <v>2526</v>
      </c>
      <c r="E20" s="41">
        <f t="shared" si="5"/>
        <v>37890</v>
      </c>
      <c r="F20" s="40">
        <v>26078</v>
      </c>
      <c r="G20" s="41">
        <v>2489</v>
      </c>
      <c r="H20" s="77">
        <v>4183</v>
      </c>
      <c r="I20" s="71"/>
      <c r="J20" s="41">
        <v>11850</v>
      </c>
      <c r="K20" s="75"/>
      <c r="L20" s="41">
        <f t="shared" si="0"/>
        <v>31256</v>
      </c>
      <c r="M20" s="41">
        <f t="shared" si="1"/>
        <v>-6634</v>
      </c>
      <c r="N20" s="41">
        <v>0</v>
      </c>
      <c r="O20" s="76">
        <f t="shared" si="2"/>
        <v>0</v>
      </c>
      <c r="P20" s="77">
        <v>24962.43</v>
      </c>
      <c r="Q20" s="40"/>
      <c r="R20" s="46">
        <f t="shared" si="3"/>
        <v>5.9675902462347601</v>
      </c>
      <c r="S20" s="46">
        <f t="shared" si="4"/>
        <v>9.8821971496437051</v>
      </c>
      <c r="T20" s="78">
        <v>0.51689696969696974</v>
      </c>
      <c r="U20" s="79">
        <v>0.69113791295228111</v>
      </c>
      <c r="V20" s="35">
        <v>26078</v>
      </c>
      <c r="W20" s="35">
        <v>3952</v>
      </c>
      <c r="X20" s="35">
        <v>11995</v>
      </c>
      <c r="Y20" s="36">
        <v>-2774</v>
      </c>
      <c r="Z20" s="45"/>
      <c r="AA20" s="74" t="s">
        <v>55</v>
      </c>
      <c r="AB20" s="174">
        <v>-1500</v>
      </c>
      <c r="AC20" s="74" t="s">
        <v>55</v>
      </c>
    </row>
    <row r="21" spans="1:29" ht="15.6" x14ac:dyDescent="0.3">
      <c r="A21" s="24" t="s">
        <v>56</v>
      </c>
      <c r="B21" s="26">
        <v>4</v>
      </c>
      <c r="C21" s="26">
        <v>17</v>
      </c>
      <c r="D21" s="27">
        <v>182</v>
      </c>
      <c r="E21" s="27">
        <f t="shared" si="5"/>
        <v>3094</v>
      </c>
      <c r="F21" s="27">
        <v>2021</v>
      </c>
      <c r="G21" s="27">
        <v>259</v>
      </c>
      <c r="H21" s="31">
        <v>274</v>
      </c>
      <c r="I21" s="81"/>
      <c r="J21" s="80">
        <v>1244</v>
      </c>
      <c r="K21" s="27"/>
      <c r="L21" s="27">
        <f t="shared" ref="L21:L27" si="6">SUM(F21+I21+J21+K21)-(G21+H21)</f>
        <v>2732</v>
      </c>
      <c r="M21" s="27">
        <f t="shared" si="1"/>
        <v>-362</v>
      </c>
      <c r="N21" s="27">
        <v>0</v>
      </c>
      <c r="O21" s="30">
        <f t="shared" si="2"/>
        <v>0</v>
      </c>
      <c r="P21" s="31">
        <v>1911.87</v>
      </c>
      <c r="Q21" s="27"/>
      <c r="R21" s="32">
        <f t="shared" si="3"/>
        <v>6.9776277372262774</v>
      </c>
      <c r="S21" s="32">
        <f t="shared" si="4"/>
        <v>10.504780219780219</v>
      </c>
      <c r="T21" s="82">
        <v>0.35369188696444848</v>
      </c>
      <c r="U21" s="34">
        <v>0.3653711892017687</v>
      </c>
      <c r="V21" s="35">
        <v>2021</v>
      </c>
      <c r="W21" s="35">
        <v>566</v>
      </c>
      <c r="X21" s="35">
        <v>1800</v>
      </c>
      <c r="Y21" s="56">
        <v>598</v>
      </c>
      <c r="Z21" s="45"/>
      <c r="AA21" s="24" t="s">
        <v>109</v>
      </c>
      <c r="AB21" s="174">
        <v>-83</v>
      </c>
      <c r="AC21" s="24" t="s">
        <v>109</v>
      </c>
    </row>
    <row r="22" spans="1:29" ht="15.6" x14ac:dyDescent="0.3">
      <c r="A22" s="37" t="s">
        <v>57</v>
      </c>
      <c r="B22" s="39">
        <v>4</v>
      </c>
      <c r="C22" s="39">
        <v>16.5</v>
      </c>
      <c r="D22" s="40">
        <v>174</v>
      </c>
      <c r="E22" s="41">
        <f t="shared" si="5"/>
        <v>2871</v>
      </c>
      <c r="F22" s="40">
        <v>3730</v>
      </c>
      <c r="G22" s="40">
        <v>872</v>
      </c>
      <c r="H22" s="63">
        <v>793</v>
      </c>
      <c r="I22" s="83"/>
      <c r="J22" s="41">
        <v>1975</v>
      </c>
      <c r="K22" s="72"/>
      <c r="L22" s="41">
        <f t="shared" si="6"/>
        <v>4040</v>
      </c>
      <c r="M22" s="40">
        <f t="shared" si="1"/>
        <v>1169</v>
      </c>
      <c r="N22" s="41">
        <v>0</v>
      </c>
      <c r="O22" s="43">
        <f t="shared" si="2"/>
        <v>0</v>
      </c>
      <c r="P22" s="63">
        <v>6215.88</v>
      </c>
      <c r="Q22" s="40"/>
      <c r="R22" s="46">
        <f t="shared" si="3"/>
        <v>7.8384363177805803</v>
      </c>
      <c r="S22" s="47">
        <f t="shared" si="4"/>
        <v>35.723448275862069</v>
      </c>
      <c r="T22" s="84">
        <v>0.47788537032190526</v>
      </c>
      <c r="U22" s="79">
        <v>0.51187612748045697</v>
      </c>
      <c r="V22" s="35">
        <v>3730</v>
      </c>
      <c r="W22" s="35">
        <v>1196</v>
      </c>
      <c r="X22" s="35">
        <v>2305</v>
      </c>
      <c r="Y22" s="56">
        <v>1485</v>
      </c>
      <c r="Z22" s="45"/>
      <c r="AA22" s="37" t="s">
        <v>57</v>
      </c>
      <c r="AB22" s="174">
        <v>-898</v>
      </c>
      <c r="AC22" s="37" t="s">
        <v>57</v>
      </c>
    </row>
    <row r="23" spans="1:29" ht="15.6" x14ac:dyDescent="0.3">
      <c r="A23" s="24" t="s">
        <v>58</v>
      </c>
      <c r="B23" s="26">
        <v>4</v>
      </c>
      <c r="C23" s="26">
        <v>16.5</v>
      </c>
      <c r="D23" s="27">
        <v>798</v>
      </c>
      <c r="E23" s="27">
        <f t="shared" si="5"/>
        <v>13167</v>
      </c>
      <c r="F23" s="27">
        <v>10913</v>
      </c>
      <c r="G23" s="27">
        <v>3474</v>
      </c>
      <c r="H23" s="31">
        <v>1272</v>
      </c>
      <c r="I23" s="85"/>
      <c r="J23" s="27">
        <v>4875</v>
      </c>
      <c r="K23" s="27"/>
      <c r="L23" s="27">
        <f t="shared" si="6"/>
        <v>11042</v>
      </c>
      <c r="M23" s="27">
        <f t="shared" si="1"/>
        <v>-2125</v>
      </c>
      <c r="N23" s="27">
        <v>0</v>
      </c>
      <c r="O23" s="30">
        <f t="shared" si="2"/>
        <v>0</v>
      </c>
      <c r="P23" s="31">
        <v>6948.21</v>
      </c>
      <c r="Q23" s="27"/>
      <c r="R23" s="32">
        <f t="shared" si="3"/>
        <v>5.462429245283019</v>
      </c>
      <c r="S23" s="32">
        <f t="shared" si="4"/>
        <v>8.7070300751879692</v>
      </c>
      <c r="T23" s="33">
        <v>0.41312418300653597</v>
      </c>
      <c r="U23" s="34">
        <v>0.37713705583756346</v>
      </c>
      <c r="V23" s="35">
        <v>10913</v>
      </c>
      <c r="W23" s="35">
        <v>1718</v>
      </c>
      <c r="X23" s="35">
        <v>5400</v>
      </c>
      <c r="Y23" s="36">
        <v>285</v>
      </c>
      <c r="Z23" s="45"/>
      <c r="AA23" s="24" t="s">
        <v>58</v>
      </c>
      <c r="AB23" s="173">
        <v>-225</v>
      </c>
      <c r="AC23" s="24" t="s">
        <v>58</v>
      </c>
    </row>
    <row r="24" spans="1:29" ht="15.6" x14ac:dyDescent="0.3">
      <c r="A24" s="86" t="s">
        <v>59</v>
      </c>
      <c r="B24" s="39">
        <v>4</v>
      </c>
      <c r="C24" s="39">
        <v>16.5</v>
      </c>
      <c r="D24" s="41">
        <v>950</v>
      </c>
      <c r="E24" s="41">
        <f t="shared" si="5"/>
        <v>15675</v>
      </c>
      <c r="F24" s="54">
        <v>11791</v>
      </c>
      <c r="G24" s="87">
        <v>1559</v>
      </c>
      <c r="H24" s="77">
        <v>1610</v>
      </c>
      <c r="I24" s="87"/>
      <c r="J24" s="41">
        <v>5100</v>
      </c>
      <c r="K24" s="41"/>
      <c r="L24" s="41">
        <f t="shared" si="6"/>
        <v>13722</v>
      </c>
      <c r="M24" s="41">
        <f t="shared" si="1"/>
        <v>-1953</v>
      </c>
      <c r="N24" s="41">
        <v>0</v>
      </c>
      <c r="O24" s="76">
        <f t="shared" si="2"/>
        <v>0</v>
      </c>
      <c r="P24" s="77">
        <v>9805.57</v>
      </c>
      <c r="Q24" s="54"/>
      <c r="R24" s="46">
        <f t="shared" si="3"/>
        <v>6.0904161490683224</v>
      </c>
      <c r="S24" s="46">
        <f t="shared" si="4"/>
        <v>10.321652631578948</v>
      </c>
      <c r="T24" s="78">
        <v>0.39495630461922598</v>
      </c>
      <c r="U24" s="79">
        <v>0.28733067729083667</v>
      </c>
      <c r="V24" s="35">
        <v>11791</v>
      </c>
      <c r="W24" s="35">
        <v>3426</v>
      </c>
      <c r="X24" s="35">
        <v>5850</v>
      </c>
      <c r="Y24" s="36">
        <v>-1139</v>
      </c>
      <c r="Z24" s="45"/>
      <c r="AA24" s="86" t="s">
        <v>59</v>
      </c>
      <c r="AB24" s="173">
        <v>150</v>
      </c>
      <c r="AC24" s="86" t="s">
        <v>59</v>
      </c>
    </row>
    <row r="25" spans="1:29" ht="15.6" x14ac:dyDescent="0.3">
      <c r="A25" s="24" t="s">
        <v>60</v>
      </c>
      <c r="B25" s="26">
        <v>4</v>
      </c>
      <c r="C25" s="26">
        <v>15</v>
      </c>
      <c r="D25" s="27">
        <v>1402</v>
      </c>
      <c r="E25" s="27">
        <f t="shared" si="5"/>
        <v>21030</v>
      </c>
      <c r="F25" s="28">
        <v>12945</v>
      </c>
      <c r="G25" s="28">
        <v>3345</v>
      </c>
      <c r="H25" s="31">
        <v>2746</v>
      </c>
      <c r="I25" s="88"/>
      <c r="J25" s="27">
        <v>6300</v>
      </c>
      <c r="K25" s="52"/>
      <c r="L25" s="27">
        <f t="shared" si="6"/>
        <v>13154</v>
      </c>
      <c r="M25" s="27">
        <f t="shared" si="1"/>
        <v>-7876</v>
      </c>
      <c r="N25" s="27">
        <v>0</v>
      </c>
      <c r="O25" s="30">
        <f t="shared" si="2"/>
        <v>0</v>
      </c>
      <c r="P25" s="31">
        <v>14161.68</v>
      </c>
      <c r="Q25" s="28"/>
      <c r="R25" s="32">
        <f t="shared" si="3"/>
        <v>5.1572032046613261</v>
      </c>
      <c r="S25" s="32">
        <f t="shared" si="4"/>
        <v>10.101055634807418</v>
      </c>
      <c r="T25" s="33">
        <v>0.43879494655004858</v>
      </c>
      <c r="U25" s="34">
        <v>0.65493189445285249</v>
      </c>
      <c r="V25" s="35">
        <v>12945</v>
      </c>
      <c r="W25" s="35">
        <v>3643</v>
      </c>
      <c r="X25" s="35">
        <v>6300</v>
      </c>
      <c r="Y25" s="36">
        <v>-7965</v>
      </c>
      <c r="Z25" s="45"/>
      <c r="AA25" s="24" t="s">
        <v>60</v>
      </c>
      <c r="AB25" s="173">
        <v>150</v>
      </c>
      <c r="AC25" s="24" t="s">
        <v>60</v>
      </c>
    </row>
    <row r="26" spans="1:29" ht="15.6" x14ac:dyDescent="0.3">
      <c r="A26" s="89" t="s">
        <v>61</v>
      </c>
      <c r="B26" s="90">
        <v>4</v>
      </c>
      <c r="C26" s="90">
        <v>15</v>
      </c>
      <c r="D26" s="91">
        <v>1974</v>
      </c>
      <c r="E26" s="41">
        <f t="shared" si="5"/>
        <v>29610</v>
      </c>
      <c r="F26" s="92">
        <v>24341</v>
      </c>
      <c r="G26" s="93">
        <v>5446</v>
      </c>
      <c r="H26" s="96">
        <v>4051</v>
      </c>
      <c r="I26" s="94"/>
      <c r="J26" s="91">
        <v>11175</v>
      </c>
      <c r="K26" s="95"/>
      <c r="L26" s="41">
        <f t="shared" si="6"/>
        <v>26019</v>
      </c>
      <c r="M26" s="41">
        <f t="shared" si="1"/>
        <v>-3591</v>
      </c>
      <c r="N26" s="41">
        <v>0</v>
      </c>
      <c r="O26" s="76">
        <f t="shared" si="2"/>
        <v>0</v>
      </c>
      <c r="P26" s="96">
        <v>25507.279999999999</v>
      </c>
      <c r="Q26" s="92"/>
      <c r="R26" s="46">
        <f t="shared" si="3"/>
        <v>6.2965391261416928</v>
      </c>
      <c r="S26" s="46">
        <f t="shared" si="4"/>
        <v>12.921621073961498</v>
      </c>
      <c r="T26" s="97">
        <v>0.39027586206896553</v>
      </c>
      <c r="U26" s="98">
        <v>0.43130801687763715</v>
      </c>
      <c r="V26" s="35">
        <v>24341</v>
      </c>
      <c r="W26" s="35">
        <v>6625</v>
      </c>
      <c r="X26" s="35">
        <v>9170</v>
      </c>
      <c r="Y26" s="36">
        <v>-5097</v>
      </c>
      <c r="Z26" s="45"/>
      <c r="AA26" s="89" t="s">
        <v>61</v>
      </c>
      <c r="AB26" s="174">
        <v>675</v>
      </c>
      <c r="AC26" s="89" t="s">
        <v>61</v>
      </c>
    </row>
    <row r="27" spans="1:29" ht="15.6" x14ac:dyDescent="0.3">
      <c r="A27" s="24" t="s">
        <v>110</v>
      </c>
      <c r="B27" s="26">
        <v>4</v>
      </c>
      <c r="C27" s="26">
        <v>16.5</v>
      </c>
      <c r="D27" s="27">
        <v>1802</v>
      </c>
      <c r="E27" s="27">
        <f t="shared" si="5"/>
        <v>29733</v>
      </c>
      <c r="F27" s="28">
        <v>12704</v>
      </c>
      <c r="G27" s="28">
        <v>1945</v>
      </c>
      <c r="H27" s="31">
        <v>1494</v>
      </c>
      <c r="I27" s="88"/>
      <c r="J27" s="27">
        <v>4121</v>
      </c>
      <c r="K27" s="52"/>
      <c r="L27" s="27">
        <f t="shared" si="6"/>
        <v>13386</v>
      </c>
      <c r="M27" s="27">
        <f t="shared" si="1"/>
        <v>-16347</v>
      </c>
      <c r="N27" s="27">
        <v>0</v>
      </c>
      <c r="O27" s="30">
        <v>0</v>
      </c>
      <c r="P27" s="31">
        <v>8731.26</v>
      </c>
      <c r="Q27" s="28"/>
      <c r="R27" s="32">
        <f>SUM(P27/H27)</f>
        <v>5.8442168674698793</v>
      </c>
      <c r="S27" s="32">
        <f>P27/D27</f>
        <v>4.8453163152053271</v>
      </c>
      <c r="T27" s="33">
        <v>0.60483022212374671</v>
      </c>
      <c r="U27" s="34"/>
      <c r="V27" s="35">
        <v>12704</v>
      </c>
      <c r="W27" s="35">
        <v>3077</v>
      </c>
      <c r="X27" s="35">
        <v>9450</v>
      </c>
      <c r="Y27" s="36">
        <v>-11468</v>
      </c>
      <c r="Z27" s="45"/>
      <c r="AA27" s="175" t="s">
        <v>110</v>
      </c>
      <c r="AB27" s="174">
        <v>-700</v>
      </c>
      <c r="AC27" s="175" t="s">
        <v>110</v>
      </c>
    </row>
    <row r="28" spans="1:29" ht="15.6" x14ac:dyDescent="0.3">
      <c r="A28" s="89" t="s">
        <v>114</v>
      </c>
      <c r="B28" s="90">
        <v>4</v>
      </c>
      <c r="C28" s="90"/>
      <c r="D28" s="91"/>
      <c r="E28" s="91">
        <f t="shared" si="5"/>
        <v>0</v>
      </c>
      <c r="F28" s="92"/>
      <c r="G28" s="177">
        <v>0</v>
      </c>
      <c r="H28" s="96"/>
      <c r="I28" s="94"/>
      <c r="J28" s="91"/>
      <c r="K28" s="95"/>
      <c r="L28" s="91"/>
      <c r="M28" s="91"/>
      <c r="N28" s="91">
        <v>0</v>
      </c>
      <c r="O28" s="178">
        <v>0</v>
      </c>
      <c r="P28" s="96"/>
      <c r="Q28" s="92"/>
      <c r="R28" s="179" t="e">
        <f>SUM(P28/H28)</f>
        <v>#DIV/0!</v>
      </c>
      <c r="S28" s="180" t="e">
        <f>P28/D28</f>
        <v>#DIV/0!</v>
      </c>
      <c r="T28" s="97"/>
      <c r="U28" s="98"/>
      <c r="V28" s="35"/>
      <c r="W28" s="35"/>
      <c r="X28" s="35"/>
      <c r="Y28" s="36"/>
      <c r="Z28" s="193"/>
      <c r="AA28" s="89" t="s">
        <v>114</v>
      </c>
      <c r="AB28" s="174"/>
      <c r="AC28" s="175"/>
    </row>
    <row r="29" spans="1:29" ht="15.6" x14ac:dyDescent="0.25">
      <c r="A29" s="181" t="s">
        <v>62</v>
      </c>
      <c r="B29" s="182"/>
      <c r="C29" s="183">
        <f>SUM(C7:C28)/22</f>
        <v>15.022727272727273</v>
      </c>
      <c r="D29" s="184">
        <f t="shared" ref="D29:N29" si="7">SUM(D7:D28)</f>
        <v>27280</v>
      </c>
      <c r="E29" s="185">
        <f t="shared" si="7"/>
        <v>422250</v>
      </c>
      <c r="F29" s="185">
        <f t="shared" si="7"/>
        <v>301716</v>
      </c>
      <c r="G29" s="186">
        <f t="shared" si="7"/>
        <v>58422</v>
      </c>
      <c r="H29" s="184">
        <f t="shared" si="7"/>
        <v>48915</v>
      </c>
      <c r="I29" s="184">
        <f t="shared" si="7"/>
        <v>0</v>
      </c>
      <c r="J29" s="185">
        <f t="shared" si="7"/>
        <v>134286</v>
      </c>
      <c r="K29" s="185">
        <f t="shared" si="7"/>
        <v>1800</v>
      </c>
      <c r="L29" s="185">
        <f t="shared" si="7"/>
        <v>330465</v>
      </c>
      <c r="M29" s="185">
        <f t="shared" si="7"/>
        <v>-91785</v>
      </c>
      <c r="N29" s="185">
        <f t="shared" si="7"/>
        <v>0</v>
      </c>
      <c r="O29" s="187">
        <f t="shared" si="2"/>
        <v>0</v>
      </c>
      <c r="P29" s="185">
        <f>SUM(P7:P28)</f>
        <v>289672.87</v>
      </c>
      <c r="Q29" s="185">
        <f>SUM(Q7:Q28)</f>
        <v>0</v>
      </c>
      <c r="R29" s="188">
        <f>SUM(P29/H29)</f>
        <v>5.9219640192170093</v>
      </c>
      <c r="S29" s="189">
        <f>P29/D29</f>
        <v>10.618506964809384</v>
      </c>
      <c r="T29" s="190">
        <v>0.45</v>
      </c>
      <c r="U29" s="191">
        <v>0.46</v>
      </c>
      <c r="V29" s="172">
        <f>SUM(V7:V28)</f>
        <v>301716</v>
      </c>
      <c r="W29" s="172">
        <f>SUM(W7:W28)</f>
        <v>76963</v>
      </c>
      <c r="X29" s="172">
        <f>SUM(X7:X28)</f>
        <v>138610</v>
      </c>
      <c r="Y29" s="192">
        <f>SUM(Y7:Y28)</f>
        <v>-77253</v>
      </c>
      <c r="Z29" s="45">
        <f>SUM(Z7:Z28)</f>
        <v>0</v>
      </c>
      <c r="AA29" s="194"/>
      <c r="AB29" s="45">
        <f>SUM(AB7:AB27)</f>
        <v>-3965</v>
      </c>
    </row>
    <row r="30" spans="1:29" ht="15.6" x14ac:dyDescent="0.25">
      <c r="A30" s="100"/>
      <c r="B30" s="101" t="s">
        <v>38</v>
      </c>
      <c r="C30" s="102" t="s">
        <v>63</v>
      </c>
      <c r="D30" s="102" t="s">
        <v>64</v>
      </c>
      <c r="E30" s="102" t="s">
        <v>65</v>
      </c>
      <c r="F30" s="102" t="s">
        <v>64</v>
      </c>
      <c r="G30" s="103" t="s">
        <v>66</v>
      </c>
      <c r="H30" s="102" t="s">
        <v>64</v>
      </c>
      <c r="I30" s="102" t="s">
        <v>67</v>
      </c>
      <c r="J30" s="102" t="s">
        <v>68</v>
      </c>
      <c r="K30" s="102" t="s">
        <v>64</v>
      </c>
      <c r="L30" s="102" t="s">
        <v>69</v>
      </c>
      <c r="M30" s="102" t="s">
        <v>64</v>
      </c>
      <c r="N30" s="104" t="s">
        <v>0</v>
      </c>
      <c r="O30" s="104"/>
      <c r="P30" s="104"/>
      <c r="Q30" s="104"/>
      <c r="R30" s="104"/>
      <c r="S30" s="105"/>
      <c r="T30" s="106"/>
      <c r="U30" s="7"/>
    </row>
    <row r="31" spans="1:29" ht="15.6" x14ac:dyDescent="0.25">
      <c r="A31" s="100" t="s">
        <v>71</v>
      </c>
      <c r="B31" s="107">
        <v>301716</v>
      </c>
      <c r="C31" s="107">
        <v>59085</v>
      </c>
      <c r="D31" s="108">
        <f>B31-C31</f>
        <v>242631</v>
      </c>
      <c r="E31" s="107">
        <v>75185</v>
      </c>
      <c r="F31" s="108">
        <f>D31-E31</f>
        <v>167446</v>
      </c>
      <c r="G31" s="107">
        <v>0</v>
      </c>
      <c r="H31" s="197">
        <f>F31+G31</f>
        <v>167446</v>
      </c>
      <c r="I31" s="107">
        <v>900</v>
      </c>
      <c r="J31" s="109">
        <v>143050</v>
      </c>
      <c r="K31" s="108">
        <f>H31+I31+J31</f>
        <v>311396</v>
      </c>
      <c r="L31" s="107">
        <v>422250</v>
      </c>
      <c r="M31" s="110">
        <f>SUM(K31-L31)</f>
        <v>-110854</v>
      </c>
      <c r="N31" s="111"/>
      <c r="O31" s="111" t="s">
        <v>117</v>
      </c>
      <c r="P31" s="111"/>
      <c r="Q31" s="111"/>
      <c r="R31" s="111"/>
      <c r="S31" s="105"/>
      <c r="T31" s="106"/>
      <c r="U31" s="7"/>
      <c r="W31" s="35"/>
    </row>
    <row r="32" spans="1:29" ht="15.6" x14ac:dyDescent="0.25">
      <c r="A32" s="100" t="s">
        <v>72</v>
      </c>
      <c r="B32" s="107">
        <v>330465</v>
      </c>
      <c r="C32" s="107">
        <v>48915</v>
      </c>
      <c r="D32" s="108">
        <f>B32-C32</f>
        <v>281550</v>
      </c>
      <c r="E32" s="107">
        <v>76963</v>
      </c>
      <c r="F32" s="108">
        <f>D32-E32</f>
        <v>204587</v>
      </c>
      <c r="G32" s="107">
        <v>0</v>
      </c>
      <c r="H32" s="108">
        <f>F32+G32</f>
        <v>204587</v>
      </c>
      <c r="I32" s="107">
        <v>1800</v>
      </c>
      <c r="J32" s="109">
        <v>138610</v>
      </c>
      <c r="K32" s="108">
        <f>H32+I32+J32</f>
        <v>344997</v>
      </c>
      <c r="L32" s="107">
        <v>422250</v>
      </c>
      <c r="M32" s="110">
        <f>SUM(K32-L32)</f>
        <v>-77253</v>
      </c>
      <c r="N32" s="111"/>
      <c r="O32" s="111"/>
      <c r="P32" s="111"/>
      <c r="Q32" s="112" t="s">
        <v>0</v>
      </c>
      <c r="R32" s="111"/>
      <c r="S32" s="105"/>
      <c r="T32" s="106"/>
      <c r="U32" s="7"/>
    </row>
    <row r="33" spans="1:24" ht="20.25" customHeight="1" x14ac:dyDescent="0.25">
      <c r="A33" s="113" t="s">
        <v>0</v>
      </c>
      <c r="B33" s="114" t="s">
        <v>0</v>
      </c>
      <c r="C33" s="115" t="s">
        <v>0</v>
      </c>
      <c r="D33" s="111"/>
      <c r="E33" s="111"/>
      <c r="F33" s="111"/>
      <c r="G33" s="111"/>
      <c r="H33" s="111"/>
      <c r="I33" s="111"/>
      <c r="J33" s="111"/>
      <c r="K33" s="111"/>
      <c r="L33" s="111" t="s">
        <v>0</v>
      </c>
      <c r="M33" s="111"/>
      <c r="N33" s="111"/>
      <c r="O33" s="111"/>
      <c r="P33" s="111"/>
      <c r="Q33" s="111"/>
      <c r="R33" s="111"/>
      <c r="S33" s="105"/>
      <c r="T33" s="106"/>
      <c r="U33" s="7"/>
    </row>
    <row r="34" spans="1:24" ht="22.2" customHeight="1" x14ac:dyDescent="0.25">
      <c r="A34" s="113" t="s">
        <v>0</v>
      </c>
      <c r="B34" s="116" t="s">
        <v>0</v>
      </c>
      <c r="C34" s="115" t="s">
        <v>0</v>
      </c>
      <c r="D34" s="117" t="s">
        <v>0</v>
      </c>
      <c r="E34" s="115" t="s">
        <v>0</v>
      </c>
      <c r="F34" s="118" t="s">
        <v>0</v>
      </c>
      <c r="G34" s="111"/>
      <c r="H34" s="111"/>
      <c r="I34" s="111"/>
      <c r="J34" s="111"/>
      <c r="K34" s="111"/>
      <c r="L34" s="111" t="s">
        <v>0</v>
      </c>
      <c r="M34" s="111"/>
      <c r="N34" s="111"/>
      <c r="O34" s="111"/>
      <c r="P34" s="111"/>
      <c r="Q34" s="111"/>
      <c r="R34" s="111"/>
      <c r="S34" s="105"/>
      <c r="T34" s="106"/>
      <c r="U34" s="7"/>
      <c r="X34" s="35"/>
    </row>
    <row r="35" spans="1:24" ht="16.5" customHeight="1" x14ac:dyDescent="0.25">
      <c r="A35" s="119" t="s">
        <v>0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 t="s">
        <v>0</v>
      </c>
      <c r="M35" s="120"/>
      <c r="N35" s="120"/>
      <c r="O35" s="120"/>
      <c r="P35" s="120"/>
      <c r="Q35" s="120"/>
      <c r="R35" s="120"/>
      <c r="S35" s="121"/>
      <c r="T35" s="122"/>
      <c r="U35" s="123"/>
    </row>
    <row r="37" spans="1:24" ht="15" x14ac:dyDescent="0.25">
      <c r="L37" s="124"/>
    </row>
    <row r="39" spans="1:24" x14ac:dyDescent="0.25">
      <c r="K39" s="45"/>
    </row>
  </sheetData>
  <mergeCells count="4">
    <mergeCell ref="F1:I1"/>
    <mergeCell ref="G2:H2"/>
    <mergeCell ref="G3:H3"/>
    <mergeCell ref="J3:J4"/>
  </mergeCells>
  <conditionalFormatting sqref="Z7:Z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:AB2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/>
  <pageMargins left="0" right="0" top="0.75" bottom="0.75" header="0.3" footer="0.3"/>
  <pageSetup scale="6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7E89-1118-423B-8E21-DC3C521F89D6}">
  <sheetPr codeName="Sheet3">
    <pageSetUpPr fitToPage="1"/>
  </sheetPr>
  <dimension ref="A1:Y38"/>
  <sheetViews>
    <sheetView zoomScaleNormal="100" workbookViewId="0">
      <pane xSplit="1" topLeftCell="B1" activePane="topRight" state="frozen"/>
      <selection pane="topRight" activeCell="M4" sqref="M4:M24"/>
    </sheetView>
  </sheetViews>
  <sheetFormatPr defaultColWidth="9" defaultRowHeight="13.8" x14ac:dyDescent="0.25"/>
  <cols>
    <col min="1" max="1" width="15.19921875" customWidth="1"/>
    <col min="2" max="2" width="6.69921875" customWidth="1"/>
    <col min="3" max="3" width="11.8984375" bestFit="1" customWidth="1"/>
    <col min="4" max="4" width="6.8984375" bestFit="1" customWidth="1"/>
    <col min="5" max="5" width="6.69921875" customWidth="1"/>
    <col min="6" max="6" width="7.3984375" bestFit="1" customWidth="1"/>
    <col min="7" max="7" width="6.8984375" bestFit="1" customWidth="1"/>
    <col min="8" max="8" width="2.3984375" customWidth="1"/>
    <col min="9" max="9" width="14.8984375" bestFit="1" customWidth="1"/>
    <col min="10" max="10" width="6.69921875" customWidth="1"/>
    <col min="11" max="11" width="5.8984375" customWidth="1"/>
    <col min="12" max="13" width="6.69921875" customWidth="1"/>
    <col min="14" max="15" width="7.69921875" customWidth="1"/>
    <col min="16" max="16" width="8.09765625" customWidth="1"/>
    <col min="17" max="17" width="5.8984375" customWidth="1"/>
    <col min="18" max="18" width="8.09765625" customWidth="1"/>
    <col min="19" max="19" width="7" customWidth="1"/>
    <col min="20" max="20" width="6.69921875" customWidth="1"/>
    <col min="21" max="21" width="8" customWidth="1"/>
    <col min="22" max="22" width="7.3984375" customWidth="1"/>
    <col min="23" max="23" width="7.69921875" customWidth="1"/>
    <col min="24" max="24" width="9.59765625" hidden="1" customWidth="1"/>
    <col min="25" max="25" width="14.3984375" customWidth="1"/>
  </cols>
  <sheetData>
    <row r="1" spans="1:24" x14ac:dyDescent="0.25">
      <c r="A1" s="99"/>
    </row>
    <row r="2" spans="1:24" ht="14.4" x14ac:dyDescent="0.3">
      <c r="A2" s="125" t="s">
        <v>115</v>
      </c>
      <c r="B2" s="126"/>
      <c r="C2" s="127"/>
      <c r="D2" s="127"/>
      <c r="E2" s="127"/>
      <c r="F2" s="127"/>
      <c r="G2" s="128"/>
      <c r="H2" s="129"/>
      <c r="I2" s="130" t="s">
        <v>116</v>
      </c>
      <c r="J2" s="127" t="s">
        <v>0</v>
      </c>
      <c r="K2" s="127" t="s">
        <v>0</v>
      </c>
      <c r="L2" s="127"/>
      <c r="M2" s="131"/>
      <c r="N2" s="127"/>
      <c r="O2" s="127" t="s">
        <v>0</v>
      </c>
      <c r="P2" s="127" t="s">
        <v>0</v>
      </c>
      <c r="Q2" s="127"/>
      <c r="R2" s="127"/>
      <c r="S2" s="127"/>
      <c r="T2" s="127"/>
      <c r="U2" s="127"/>
      <c r="V2" s="132" t="s">
        <v>73</v>
      </c>
    </row>
    <row r="3" spans="1:24" ht="14.4" x14ac:dyDescent="0.3">
      <c r="A3" s="133" t="s">
        <v>70</v>
      </c>
      <c r="B3" s="134" t="s">
        <v>74</v>
      </c>
      <c r="C3" s="135" t="s">
        <v>75</v>
      </c>
      <c r="D3" s="135" t="s">
        <v>76</v>
      </c>
      <c r="E3" s="135" t="s">
        <v>77</v>
      </c>
      <c r="F3" s="135" t="s">
        <v>78</v>
      </c>
      <c r="G3" s="135" t="s">
        <v>79</v>
      </c>
      <c r="H3" s="129"/>
      <c r="I3" s="133"/>
      <c r="J3" s="136" t="s">
        <v>38</v>
      </c>
      <c r="K3" s="137" t="s">
        <v>80</v>
      </c>
      <c r="L3" s="137" t="s">
        <v>64</v>
      </c>
      <c r="M3" s="137" t="s">
        <v>81</v>
      </c>
      <c r="N3" s="137" t="s">
        <v>64</v>
      </c>
      <c r="O3" s="136" t="s">
        <v>82</v>
      </c>
      <c r="P3" s="137" t="s">
        <v>64</v>
      </c>
      <c r="Q3" s="136" t="s">
        <v>74</v>
      </c>
      <c r="R3" s="137" t="s">
        <v>64</v>
      </c>
      <c r="S3" s="137" t="s">
        <v>83</v>
      </c>
      <c r="T3" s="137" t="s">
        <v>64</v>
      </c>
      <c r="U3" s="136" t="s">
        <v>84</v>
      </c>
      <c r="V3" s="138" t="s">
        <v>85</v>
      </c>
    </row>
    <row r="4" spans="1:24" ht="14.4" x14ac:dyDescent="0.3">
      <c r="A4" s="139" t="s">
        <v>86</v>
      </c>
      <c r="B4" s="140">
        <v>2625</v>
      </c>
      <c r="C4" s="140">
        <v>0</v>
      </c>
      <c r="D4" s="140">
        <v>12222</v>
      </c>
      <c r="E4" s="140">
        <f t="shared" ref="E4:E24" si="0">B4+C4+D4</f>
        <v>14847</v>
      </c>
      <c r="F4" s="140">
        <v>4916</v>
      </c>
      <c r="G4" s="140">
        <f>E4-F4</f>
        <v>9931</v>
      </c>
      <c r="H4" s="129"/>
      <c r="I4" s="139" t="s">
        <v>86</v>
      </c>
      <c r="J4" s="140">
        <v>31723</v>
      </c>
      <c r="K4" s="140">
        <v>3708</v>
      </c>
      <c r="L4" s="140">
        <f t="shared" ref="L4:L24" si="1">J4-K4</f>
        <v>28015</v>
      </c>
      <c r="M4" s="140">
        <v>9966</v>
      </c>
      <c r="N4" s="140">
        <f t="shared" ref="N4:N24" si="2">L4-M4</f>
        <v>18049</v>
      </c>
      <c r="O4" s="140">
        <v>0</v>
      </c>
      <c r="P4" s="140">
        <f t="shared" ref="P4:P22" si="3">N4+O4</f>
        <v>18049</v>
      </c>
      <c r="Q4" s="140">
        <v>1800</v>
      </c>
      <c r="R4" s="140">
        <f t="shared" ref="R4:R24" si="4">P4+Q4</f>
        <v>19849</v>
      </c>
      <c r="S4" s="141">
        <v>10395</v>
      </c>
      <c r="T4" s="140">
        <f t="shared" ref="T4:T24" si="5">R4+S4</f>
        <v>30244</v>
      </c>
      <c r="U4" s="142">
        <v>40140</v>
      </c>
      <c r="V4" s="36">
        <f t="shared" ref="V4:V23" si="6">T4-U4</f>
        <v>-9896</v>
      </c>
      <c r="W4" s="143"/>
      <c r="X4">
        <v>3735</v>
      </c>
    </row>
    <row r="5" spans="1:24" ht="14.4" x14ac:dyDescent="0.3">
      <c r="A5" s="144" t="s">
        <v>43</v>
      </c>
      <c r="B5" s="145">
        <v>0</v>
      </c>
      <c r="C5" s="145">
        <v>0</v>
      </c>
      <c r="D5" s="145">
        <v>5250</v>
      </c>
      <c r="E5" s="145">
        <f t="shared" si="0"/>
        <v>5250</v>
      </c>
      <c r="F5" s="145">
        <v>1911</v>
      </c>
      <c r="G5" s="140">
        <f t="shared" ref="G5:G24" si="7">E5-F5</f>
        <v>3339</v>
      </c>
      <c r="H5" s="129"/>
      <c r="I5" s="144" t="s">
        <v>43</v>
      </c>
      <c r="J5" s="145">
        <v>16202</v>
      </c>
      <c r="K5" s="145">
        <v>1249</v>
      </c>
      <c r="L5" s="145">
        <f t="shared" si="1"/>
        <v>14953</v>
      </c>
      <c r="M5" s="145">
        <v>3571</v>
      </c>
      <c r="N5" s="145">
        <f t="shared" si="2"/>
        <v>11382</v>
      </c>
      <c r="O5" s="145">
        <v>0</v>
      </c>
      <c r="P5" s="145">
        <f t="shared" si="3"/>
        <v>11382</v>
      </c>
      <c r="Q5" s="145"/>
      <c r="R5" s="145">
        <f t="shared" si="4"/>
        <v>11382</v>
      </c>
      <c r="S5" s="146">
        <v>4295</v>
      </c>
      <c r="T5" s="145">
        <f t="shared" si="5"/>
        <v>15677</v>
      </c>
      <c r="U5" s="147">
        <v>20310</v>
      </c>
      <c r="V5" s="36">
        <f t="shared" si="6"/>
        <v>-4633</v>
      </c>
      <c r="X5">
        <v>1191</v>
      </c>
    </row>
    <row r="6" spans="1:24" ht="14.4" x14ac:dyDescent="0.3">
      <c r="A6" s="139" t="s">
        <v>44</v>
      </c>
      <c r="B6" s="140">
        <v>0</v>
      </c>
      <c r="C6" s="140">
        <v>0</v>
      </c>
      <c r="D6" s="140">
        <v>3095</v>
      </c>
      <c r="E6" s="140">
        <f t="shared" si="0"/>
        <v>3095</v>
      </c>
      <c r="F6" s="140">
        <v>2007</v>
      </c>
      <c r="G6" s="140">
        <f t="shared" si="7"/>
        <v>1088</v>
      </c>
      <c r="H6" s="129"/>
      <c r="I6" s="139" t="s">
        <v>44</v>
      </c>
      <c r="J6" s="140">
        <v>9002</v>
      </c>
      <c r="K6" s="140">
        <v>1503</v>
      </c>
      <c r="L6" s="140">
        <f t="shared" si="1"/>
        <v>7499</v>
      </c>
      <c r="M6" s="140">
        <v>1178</v>
      </c>
      <c r="N6" s="140">
        <f t="shared" si="2"/>
        <v>6321</v>
      </c>
      <c r="O6" s="140">
        <v>0</v>
      </c>
      <c r="P6" s="140">
        <f t="shared" si="3"/>
        <v>6321</v>
      </c>
      <c r="Q6" s="140"/>
      <c r="R6" s="140">
        <f t="shared" si="4"/>
        <v>6321</v>
      </c>
      <c r="S6" s="141">
        <v>4120</v>
      </c>
      <c r="T6" s="140">
        <f t="shared" si="5"/>
        <v>10441</v>
      </c>
      <c r="U6" s="142">
        <v>12352</v>
      </c>
      <c r="V6" s="36">
        <f t="shared" si="6"/>
        <v>-1911</v>
      </c>
      <c r="X6">
        <v>1028</v>
      </c>
    </row>
    <row r="7" spans="1:24" ht="15.6" x14ac:dyDescent="0.3">
      <c r="A7" s="144" t="s">
        <v>45</v>
      </c>
      <c r="B7" s="145">
        <v>0</v>
      </c>
      <c r="C7" s="145">
        <v>0</v>
      </c>
      <c r="D7" s="145">
        <v>6750</v>
      </c>
      <c r="E7" s="145">
        <f t="shared" si="0"/>
        <v>6750</v>
      </c>
      <c r="F7" s="145">
        <v>3259</v>
      </c>
      <c r="G7" s="140">
        <f t="shared" si="7"/>
        <v>3491</v>
      </c>
      <c r="H7" s="129"/>
      <c r="I7" s="144" t="s">
        <v>45</v>
      </c>
      <c r="J7" s="41">
        <v>14369</v>
      </c>
      <c r="K7" s="145">
        <v>2871</v>
      </c>
      <c r="L7" s="145">
        <f t="shared" si="1"/>
        <v>11498</v>
      </c>
      <c r="M7" s="145">
        <v>3313</v>
      </c>
      <c r="N7" s="145">
        <f t="shared" si="2"/>
        <v>8185</v>
      </c>
      <c r="O7" s="145">
        <v>0</v>
      </c>
      <c r="P7" s="145">
        <f t="shared" si="3"/>
        <v>8185</v>
      </c>
      <c r="Q7" s="145"/>
      <c r="R7" s="145">
        <f t="shared" si="4"/>
        <v>8185</v>
      </c>
      <c r="S7" s="146">
        <v>6750</v>
      </c>
      <c r="T7" s="145">
        <f t="shared" si="5"/>
        <v>14935</v>
      </c>
      <c r="U7" s="147">
        <v>17952</v>
      </c>
      <c r="V7" s="36">
        <f t="shared" si="6"/>
        <v>-3017</v>
      </c>
      <c r="X7">
        <v>1503</v>
      </c>
    </row>
    <row r="8" spans="1:24" ht="14.4" x14ac:dyDescent="0.3">
      <c r="A8" s="139" t="s">
        <v>46</v>
      </c>
      <c r="B8" s="140">
        <v>0</v>
      </c>
      <c r="C8" s="140">
        <v>0</v>
      </c>
      <c r="D8" s="140">
        <v>8025</v>
      </c>
      <c r="E8" s="140">
        <f t="shared" si="0"/>
        <v>8025</v>
      </c>
      <c r="F8" s="140">
        <v>3517</v>
      </c>
      <c r="G8" s="140">
        <f t="shared" si="7"/>
        <v>4508</v>
      </c>
      <c r="H8" s="129"/>
      <c r="I8" s="139" t="s">
        <v>46</v>
      </c>
      <c r="J8" s="140">
        <v>17537</v>
      </c>
      <c r="K8" s="140">
        <v>3191</v>
      </c>
      <c r="L8" s="140">
        <f t="shared" si="1"/>
        <v>14346</v>
      </c>
      <c r="M8" s="140">
        <v>4705</v>
      </c>
      <c r="N8" s="140">
        <f t="shared" si="2"/>
        <v>9641</v>
      </c>
      <c r="O8" s="140">
        <v>0</v>
      </c>
      <c r="P8" s="140">
        <f t="shared" si="3"/>
        <v>9641</v>
      </c>
      <c r="Q8" s="140"/>
      <c r="R8" s="140">
        <f t="shared" si="4"/>
        <v>9641</v>
      </c>
      <c r="S8" s="141">
        <v>8955</v>
      </c>
      <c r="T8" s="140">
        <f t="shared" si="5"/>
        <v>18596</v>
      </c>
      <c r="U8" s="142">
        <v>14752</v>
      </c>
      <c r="V8" s="176">
        <f t="shared" si="6"/>
        <v>3844</v>
      </c>
      <c r="X8">
        <v>1414</v>
      </c>
    </row>
    <row r="9" spans="1:24" ht="14.4" x14ac:dyDescent="0.3">
      <c r="A9" s="144" t="s">
        <v>87</v>
      </c>
      <c r="B9" s="145">
        <v>0</v>
      </c>
      <c r="C9" s="145">
        <v>0</v>
      </c>
      <c r="D9" s="145">
        <v>7800</v>
      </c>
      <c r="E9" s="140">
        <f t="shared" si="0"/>
        <v>7800</v>
      </c>
      <c r="F9" s="145">
        <v>3193</v>
      </c>
      <c r="G9" s="140">
        <f t="shared" si="7"/>
        <v>4607</v>
      </c>
      <c r="H9" s="129"/>
      <c r="I9" s="144" t="s">
        <v>87</v>
      </c>
      <c r="J9" s="145">
        <v>15496</v>
      </c>
      <c r="K9" s="145">
        <v>1899</v>
      </c>
      <c r="L9" s="145">
        <f t="shared" si="1"/>
        <v>13597</v>
      </c>
      <c r="M9" s="145">
        <v>4981</v>
      </c>
      <c r="N9" s="145">
        <f t="shared" si="2"/>
        <v>8616</v>
      </c>
      <c r="O9" s="145">
        <v>0</v>
      </c>
      <c r="P9" s="145">
        <f t="shared" si="3"/>
        <v>8616</v>
      </c>
      <c r="Q9" s="145"/>
      <c r="R9" s="145">
        <f t="shared" si="4"/>
        <v>8616</v>
      </c>
      <c r="S9" s="146">
        <v>7185</v>
      </c>
      <c r="T9" s="145">
        <f t="shared" si="5"/>
        <v>15801</v>
      </c>
      <c r="U9" s="147">
        <v>20736</v>
      </c>
      <c r="V9" s="36">
        <f t="shared" si="6"/>
        <v>-4935</v>
      </c>
      <c r="X9">
        <v>1853</v>
      </c>
    </row>
    <row r="10" spans="1:24" ht="14.4" x14ac:dyDescent="0.3">
      <c r="A10" s="139" t="s">
        <v>88</v>
      </c>
      <c r="B10" s="140">
        <v>0</v>
      </c>
      <c r="C10" s="140">
        <v>0</v>
      </c>
      <c r="D10" s="140">
        <v>7725</v>
      </c>
      <c r="E10" s="140">
        <f t="shared" si="0"/>
        <v>7725</v>
      </c>
      <c r="F10" s="140">
        <v>3376</v>
      </c>
      <c r="G10" s="140">
        <f t="shared" si="7"/>
        <v>4349</v>
      </c>
      <c r="H10" s="129"/>
      <c r="I10" s="139" t="s">
        <v>88</v>
      </c>
      <c r="J10" s="140">
        <v>21989</v>
      </c>
      <c r="K10" s="140">
        <v>2600</v>
      </c>
      <c r="L10" s="140">
        <f t="shared" si="1"/>
        <v>19389</v>
      </c>
      <c r="M10" s="140">
        <v>4682</v>
      </c>
      <c r="N10" s="140">
        <f t="shared" si="2"/>
        <v>14707</v>
      </c>
      <c r="O10" s="140">
        <v>0</v>
      </c>
      <c r="P10" s="140">
        <f t="shared" si="3"/>
        <v>14707</v>
      </c>
      <c r="Q10" s="140"/>
      <c r="R10" s="140">
        <f t="shared" si="4"/>
        <v>14707</v>
      </c>
      <c r="S10" s="141">
        <v>7085</v>
      </c>
      <c r="T10" s="140">
        <f t="shared" si="5"/>
        <v>21792</v>
      </c>
      <c r="U10" s="142">
        <v>26010</v>
      </c>
      <c r="V10" s="36">
        <f t="shared" si="6"/>
        <v>-4218</v>
      </c>
      <c r="W10" s="45"/>
      <c r="X10">
        <v>2038</v>
      </c>
    </row>
    <row r="11" spans="1:24" ht="14.4" x14ac:dyDescent="0.3">
      <c r="A11" s="144" t="s">
        <v>89</v>
      </c>
      <c r="B11" s="145">
        <v>0</v>
      </c>
      <c r="C11" s="145">
        <v>0</v>
      </c>
      <c r="D11" s="145">
        <v>8100</v>
      </c>
      <c r="E11" s="145">
        <f t="shared" si="0"/>
        <v>8100</v>
      </c>
      <c r="F11" s="145">
        <v>3638</v>
      </c>
      <c r="G11" s="140">
        <f t="shared" si="7"/>
        <v>4462</v>
      </c>
      <c r="H11" s="129"/>
      <c r="I11" s="144" t="s">
        <v>89</v>
      </c>
      <c r="J11" s="145">
        <v>21787</v>
      </c>
      <c r="K11" s="145">
        <v>3383</v>
      </c>
      <c r="L11" s="145">
        <f t="shared" si="1"/>
        <v>18404</v>
      </c>
      <c r="M11" s="145">
        <v>4316</v>
      </c>
      <c r="N11" s="145">
        <f t="shared" si="2"/>
        <v>14088</v>
      </c>
      <c r="O11" s="145">
        <v>0</v>
      </c>
      <c r="P11" s="145">
        <f t="shared" si="3"/>
        <v>14088</v>
      </c>
      <c r="Q11" s="145"/>
      <c r="R11" s="145">
        <f t="shared" si="4"/>
        <v>14088</v>
      </c>
      <c r="S11" s="146">
        <v>7635</v>
      </c>
      <c r="T11" s="145">
        <f t="shared" si="5"/>
        <v>21723</v>
      </c>
      <c r="U11" s="147">
        <v>25410</v>
      </c>
      <c r="V11" s="36">
        <f t="shared" si="6"/>
        <v>-3687</v>
      </c>
      <c r="X11">
        <v>2132</v>
      </c>
    </row>
    <row r="12" spans="1:24" ht="14.4" x14ac:dyDescent="0.3">
      <c r="A12" s="139" t="s">
        <v>90</v>
      </c>
      <c r="B12" s="140">
        <v>0</v>
      </c>
      <c r="C12" s="140">
        <v>0</v>
      </c>
      <c r="D12" s="140">
        <v>7410</v>
      </c>
      <c r="E12" s="140">
        <f t="shared" si="0"/>
        <v>7410</v>
      </c>
      <c r="F12" s="140">
        <v>3507</v>
      </c>
      <c r="G12" s="140">
        <f t="shared" si="7"/>
        <v>3903</v>
      </c>
      <c r="H12" s="129"/>
      <c r="I12" s="139" t="s">
        <v>90</v>
      </c>
      <c r="J12" s="140">
        <v>16228</v>
      </c>
      <c r="K12" s="140">
        <v>2876</v>
      </c>
      <c r="L12" s="140">
        <f t="shared" si="1"/>
        <v>13352</v>
      </c>
      <c r="M12" s="140">
        <v>4374</v>
      </c>
      <c r="N12" s="140">
        <f t="shared" si="2"/>
        <v>8978</v>
      </c>
      <c r="O12" s="140">
        <v>0</v>
      </c>
      <c r="P12" s="140">
        <f t="shared" si="3"/>
        <v>8978</v>
      </c>
      <c r="Q12" s="140"/>
      <c r="R12" s="140">
        <f t="shared" si="4"/>
        <v>8978</v>
      </c>
      <c r="S12" s="141">
        <v>7650</v>
      </c>
      <c r="T12" s="140">
        <f t="shared" si="5"/>
        <v>16628</v>
      </c>
      <c r="U12" s="142">
        <v>23958</v>
      </c>
      <c r="V12" s="36">
        <f t="shared" si="6"/>
        <v>-7330</v>
      </c>
      <c r="X12">
        <v>1983</v>
      </c>
    </row>
    <row r="13" spans="1:24" ht="14.4" x14ac:dyDescent="0.3">
      <c r="A13" s="144" t="s">
        <v>91</v>
      </c>
      <c r="B13" s="145">
        <v>0</v>
      </c>
      <c r="C13" s="145">
        <v>0</v>
      </c>
      <c r="D13" s="145">
        <v>8325</v>
      </c>
      <c r="E13" s="145">
        <f t="shared" si="0"/>
        <v>8325</v>
      </c>
      <c r="F13" s="145">
        <v>5774</v>
      </c>
      <c r="G13" s="140">
        <f t="shared" si="7"/>
        <v>2551</v>
      </c>
      <c r="H13" s="129"/>
      <c r="I13" s="144" t="s">
        <v>91</v>
      </c>
      <c r="J13" s="145">
        <v>19893</v>
      </c>
      <c r="K13" s="145">
        <v>4520</v>
      </c>
      <c r="L13" s="145">
        <f t="shared" si="1"/>
        <v>15373</v>
      </c>
      <c r="M13" s="145">
        <v>2390</v>
      </c>
      <c r="N13" s="145">
        <f t="shared" si="2"/>
        <v>12983</v>
      </c>
      <c r="O13" s="145">
        <v>0</v>
      </c>
      <c r="P13" s="145">
        <f t="shared" si="3"/>
        <v>12983</v>
      </c>
      <c r="Q13" s="145"/>
      <c r="R13" s="145">
        <f t="shared" si="4"/>
        <v>12983</v>
      </c>
      <c r="S13" s="146">
        <v>8010</v>
      </c>
      <c r="T13" s="145">
        <f t="shared" si="5"/>
        <v>20993</v>
      </c>
      <c r="U13" s="147">
        <v>19380</v>
      </c>
      <c r="V13" s="56">
        <f t="shared" si="6"/>
        <v>1613</v>
      </c>
      <c r="X13">
        <v>1926</v>
      </c>
    </row>
    <row r="14" spans="1:24" ht="14.4" x14ac:dyDescent="0.3">
      <c r="A14" s="139" t="s">
        <v>92</v>
      </c>
      <c r="B14" s="140">
        <v>0</v>
      </c>
      <c r="C14" s="140">
        <v>0</v>
      </c>
      <c r="D14" s="140">
        <v>4957</v>
      </c>
      <c r="E14" s="140">
        <f t="shared" si="0"/>
        <v>4957</v>
      </c>
      <c r="F14" s="140">
        <v>2044</v>
      </c>
      <c r="G14" s="140">
        <f t="shared" si="7"/>
        <v>2913</v>
      </c>
      <c r="H14" s="129"/>
      <c r="I14" s="139" t="s">
        <v>92</v>
      </c>
      <c r="J14" s="140">
        <v>12030</v>
      </c>
      <c r="K14" s="140">
        <v>1576</v>
      </c>
      <c r="L14" s="140">
        <f>J14-K14</f>
        <v>10454</v>
      </c>
      <c r="M14" s="140">
        <v>3096</v>
      </c>
      <c r="N14" s="140">
        <f t="shared" si="2"/>
        <v>7358</v>
      </c>
      <c r="O14" s="140">
        <v>0</v>
      </c>
      <c r="P14" s="140">
        <f t="shared" si="3"/>
        <v>7358</v>
      </c>
      <c r="Q14" s="140"/>
      <c r="R14" s="140">
        <f t="shared" si="4"/>
        <v>7358</v>
      </c>
      <c r="S14" s="141">
        <v>4050</v>
      </c>
      <c r="T14" s="140">
        <f t="shared" si="5"/>
        <v>11408</v>
      </c>
      <c r="U14" s="142">
        <v>15900</v>
      </c>
      <c r="V14" s="36">
        <f t="shared" si="6"/>
        <v>-4492</v>
      </c>
      <c r="X14">
        <v>1608</v>
      </c>
    </row>
    <row r="15" spans="1:24" ht="14.4" x14ac:dyDescent="0.3">
      <c r="A15" s="144" t="s">
        <v>53</v>
      </c>
      <c r="B15" s="145">
        <v>0</v>
      </c>
      <c r="C15" s="145">
        <v>0</v>
      </c>
      <c r="D15" s="145">
        <v>9150</v>
      </c>
      <c r="E15" s="145">
        <f t="shared" si="0"/>
        <v>9150</v>
      </c>
      <c r="F15" s="145">
        <v>3401</v>
      </c>
      <c r="G15" s="140">
        <f t="shared" si="7"/>
        <v>5749</v>
      </c>
      <c r="H15" s="129"/>
      <c r="I15" s="144" t="s">
        <v>53</v>
      </c>
      <c r="J15" s="148">
        <v>16574</v>
      </c>
      <c r="K15" s="145">
        <v>2803</v>
      </c>
      <c r="L15" s="145">
        <f t="shared" si="1"/>
        <v>13771</v>
      </c>
      <c r="M15" s="145">
        <v>5310</v>
      </c>
      <c r="N15" s="145">
        <f t="shared" si="2"/>
        <v>8461</v>
      </c>
      <c r="O15" s="145">
        <v>0</v>
      </c>
      <c r="P15" s="145">
        <f t="shared" si="3"/>
        <v>8461</v>
      </c>
      <c r="Q15" s="145"/>
      <c r="R15" s="145">
        <f t="shared" si="4"/>
        <v>8461</v>
      </c>
      <c r="S15" s="146">
        <v>8635</v>
      </c>
      <c r="T15" s="145">
        <f t="shared" si="5"/>
        <v>17096</v>
      </c>
      <c r="U15" s="147">
        <v>28980</v>
      </c>
      <c r="V15" s="36">
        <f t="shared" si="6"/>
        <v>-11884</v>
      </c>
      <c r="X15">
        <v>2313</v>
      </c>
    </row>
    <row r="16" spans="1:24" ht="14.4" x14ac:dyDescent="0.3">
      <c r="A16" s="144" t="s">
        <v>54</v>
      </c>
      <c r="B16" s="145">
        <v>0</v>
      </c>
      <c r="C16" s="145">
        <v>0</v>
      </c>
      <c r="D16" s="145">
        <v>1200</v>
      </c>
      <c r="E16" s="145">
        <f t="shared" si="0"/>
        <v>1200</v>
      </c>
      <c r="F16" s="145">
        <v>377</v>
      </c>
      <c r="G16" s="140">
        <f t="shared" si="7"/>
        <v>823</v>
      </c>
      <c r="H16" s="129"/>
      <c r="I16" s="144" t="s">
        <v>54</v>
      </c>
      <c r="J16" s="145">
        <v>2284</v>
      </c>
      <c r="K16" s="145">
        <v>313</v>
      </c>
      <c r="L16" s="145">
        <f t="shared" si="1"/>
        <v>1971</v>
      </c>
      <c r="M16" s="145">
        <v>878</v>
      </c>
      <c r="N16" s="145">
        <f t="shared" si="2"/>
        <v>1093</v>
      </c>
      <c r="O16" s="145">
        <v>0</v>
      </c>
      <c r="P16" s="145">
        <f t="shared" si="3"/>
        <v>1093</v>
      </c>
      <c r="Q16" s="145"/>
      <c r="R16" s="145">
        <f t="shared" si="4"/>
        <v>1093</v>
      </c>
      <c r="S16" s="146">
        <v>1575</v>
      </c>
      <c r="T16" s="145">
        <f t="shared" si="5"/>
        <v>2668</v>
      </c>
      <c r="U16" s="147">
        <v>3300</v>
      </c>
      <c r="V16" s="36">
        <f t="shared" si="6"/>
        <v>-632</v>
      </c>
      <c r="X16">
        <v>165</v>
      </c>
    </row>
    <row r="17" spans="1:25" ht="14.4" x14ac:dyDescent="0.3">
      <c r="A17" s="139" t="s">
        <v>55</v>
      </c>
      <c r="B17" s="140">
        <v>0</v>
      </c>
      <c r="C17" s="140">
        <v>0</v>
      </c>
      <c r="D17" s="140">
        <v>9450</v>
      </c>
      <c r="E17" s="140">
        <f t="shared" si="0"/>
        <v>9450</v>
      </c>
      <c r="F17" s="140">
        <v>5567</v>
      </c>
      <c r="G17" s="140">
        <f t="shared" si="7"/>
        <v>3883</v>
      </c>
      <c r="H17" s="129"/>
      <c r="I17" s="139" t="s">
        <v>55</v>
      </c>
      <c r="J17" s="140">
        <v>31256</v>
      </c>
      <c r="K17" s="140">
        <v>4183</v>
      </c>
      <c r="L17" s="140">
        <f t="shared" si="1"/>
        <v>27073</v>
      </c>
      <c r="M17" s="140">
        <v>3952</v>
      </c>
      <c r="N17" s="140">
        <f t="shared" si="2"/>
        <v>23121</v>
      </c>
      <c r="O17" s="140">
        <v>0</v>
      </c>
      <c r="P17" s="140">
        <f t="shared" si="3"/>
        <v>23121</v>
      </c>
      <c r="Q17" s="140"/>
      <c r="R17" s="140">
        <f t="shared" si="4"/>
        <v>23121</v>
      </c>
      <c r="S17" s="141">
        <v>11995</v>
      </c>
      <c r="T17" s="140">
        <f t="shared" si="5"/>
        <v>35116</v>
      </c>
      <c r="U17" s="142">
        <v>37890</v>
      </c>
      <c r="V17" s="36">
        <f t="shared" si="6"/>
        <v>-2774</v>
      </c>
      <c r="W17" s="45"/>
      <c r="X17">
        <v>2405</v>
      </c>
    </row>
    <row r="18" spans="1:25" ht="14.4" x14ac:dyDescent="0.3">
      <c r="A18" s="149" t="s">
        <v>93</v>
      </c>
      <c r="B18" s="148">
        <v>0</v>
      </c>
      <c r="C18" s="148">
        <v>0</v>
      </c>
      <c r="D18" s="148">
        <v>995</v>
      </c>
      <c r="E18" s="148">
        <f t="shared" si="0"/>
        <v>995</v>
      </c>
      <c r="F18" s="148">
        <v>474</v>
      </c>
      <c r="G18" s="140">
        <f t="shared" si="7"/>
        <v>521</v>
      </c>
      <c r="H18" s="129"/>
      <c r="I18" s="149" t="s">
        <v>93</v>
      </c>
      <c r="J18" s="148">
        <v>2732</v>
      </c>
      <c r="K18" s="148">
        <v>274</v>
      </c>
      <c r="L18" s="148">
        <f t="shared" si="1"/>
        <v>2458</v>
      </c>
      <c r="M18" s="148">
        <v>566</v>
      </c>
      <c r="N18" s="148">
        <f t="shared" si="2"/>
        <v>1892</v>
      </c>
      <c r="O18" s="148">
        <v>0</v>
      </c>
      <c r="P18" s="148">
        <f t="shared" si="3"/>
        <v>1892</v>
      </c>
      <c r="Q18" s="148"/>
      <c r="R18" s="148">
        <f t="shared" si="4"/>
        <v>1892</v>
      </c>
      <c r="S18" s="150">
        <v>1800</v>
      </c>
      <c r="T18" s="148">
        <f t="shared" si="5"/>
        <v>3692</v>
      </c>
      <c r="U18" s="151">
        <v>3094</v>
      </c>
      <c r="V18" s="56">
        <f t="shared" si="6"/>
        <v>598</v>
      </c>
      <c r="X18">
        <v>156</v>
      </c>
    </row>
    <row r="19" spans="1:25" ht="14.4" x14ac:dyDescent="0.3">
      <c r="A19" s="139" t="s">
        <v>57</v>
      </c>
      <c r="B19" s="140">
        <v>0</v>
      </c>
      <c r="C19" s="140">
        <v>0</v>
      </c>
      <c r="D19" s="140">
        <v>2119</v>
      </c>
      <c r="E19" s="140">
        <f t="shared" si="0"/>
        <v>2119</v>
      </c>
      <c r="F19" s="140">
        <v>975</v>
      </c>
      <c r="G19" s="140">
        <f t="shared" si="7"/>
        <v>1144</v>
      </c>
      <c r="H19" s="129"/>
      <c r="I19" s="139" t="s">
        <v>57</v>
      </c>
      <c r="J19" s="140">
        <v>4040</v>
      </c>
      <c r="K19" s="140">
        <v>793</v>
      </c>
      <c r="L19" s="140">
        <f t="shared" si="1"/>
        <v>3247</v>
      </c>
      <c r="M19" s="140">
        <v>1196</v>
      </c>
      <c r="N19" s="140">
        <f t="shared" si="2"/>
        <v>2051</v>
      </c>
      <c r="O19" s="140">
        <v>0</v>
      </c>
      <c r="P19" s="140">
        <f t="shared" si="3"/>
        <v>2051</v>
      </c>
      <c r="Q19" s="140"/>
      <c r="R19" s="140">
        <f>P19+Q20</f>
        <v>2051</v>
      </c>
      <c r="S19" s="141">
        <v>2305</v>
      </c>
      <c r="T19" s="140">
        <f t="shared" si="5"/>
        <v>4356</v>
      </c>
      <c r="U19" s="142">
        <v>2871</v>
      </c>
      <c r="V19" s="56">
        <f t="shared" si="6"/>
        <v>1485</v>
      </c>
      <c r="X19">
        <v>235</v>
      </c>
    </row>
    <row r="20" spans="1:25" ht="14.4" x14ac:dyDescent="0.3">
      <c r="A20" s="144" t="s">
        <v>58</v>
      </c>
      <c r="B20" s="145">
        <v>0</v>
      </c>
      <c r="C20" s="145">
        <v>0</v>
      </c>
      <c r="D20" s="145">
        <v>3675</v>
      </c>
      <c r="E20" s="145">
        <f t="shared" si="0"/>
        <v>3675</v>
      </c>
      <c r="F20" s="145">
        <v>2363</v>
      </c>
      <c r="G20" s="140">
        <f t="shared" si="7"/>
        <v>1312</v>
      </c>
      <c r="H20" s="129"/>
      <c r="I20" s="144" t="s">
        <v>58</v>
      </c>
      <c r="J20" s="145">
        <v>11042</v>
      </c>
      <c r="K20" s="145">
        <v>1272</v>
      </c>
      <c r="L20" s="145">
        <f t="shared" si="1"/>
        <v>9770</v>
      </c>
      <c r="M20" s="145">
        <v>1718</v>
      </c>
      <c r="N20" s="145">
        <f t="shared" si="2"/>
        <v>8052</v>
      </c>
      <c r="O20" s="145">
        <v>0</v>
      </c>
      <c r="P20" s="145">
        <f t="shared" si="3"/>
        <v>8052</v>
      </c>
      <c r="Q20" s="145"/>
      <c r="R20" s="140">
        <f>P20+Q21</f>
        <v>8052</v>
      </c>
      <c r="S20" s="146">
        <v>5400</v>
      </c>
      <c r="T20" s="145">
        <f t="shared" si="5"/>
        <v>13452</v>
      </c>
      <c r="U20" s="147">
        <v>13167</v>
      </c>
      <c r="V20" s="36">
        <f t="shared" si="6"/>
        <v>285</v>
      </c>
      <c r="X20">
        <v>1706</v>
      </c>
    </row>
    <row r="21" spans="1:25" ht="14.4" x14ac:dyDescent="0.3">
      <c r="A21" s="139" t="s">
        <v>59</v>
      </c>
      <c r="B21" s="140">
        <v>0</v>
      </c>
      <c r="C21" s="140">
        <v>0</v>
      </c>
      <c r="D21" s="140">
        <v>5400</v>
      </c>
      <c r="E21" s="140">
        <f t="shared" si="0"/>
        <v>5400</v>
      </c>
      <c r="F21" s="140">
        <v>2030</v>
      </c>
      <c r="G21" s="140">
        <f t="shared" si="7"/>
        <v>3370</v>
      </c>
      <c r="H21" s="129"/>
      <c r="I21" s="139" t="s">
        <v>59</v>
      </c>
      <c r="J21" s="140">
        <v>13722</v>
      </c>
      <c r="K21" s="140">
        <v>1610</v>
      </c>
      <c r="L21" s="140">
        <f t="shared" si="1"/>
        <v>12112</v>
      </c>
      <c r="M21" s="140">
        <v>3426</v>
      </c>
      <c r="N21" s="140">
        <f t="shared" si="2"/>
        <v>8686</v>
      </c>
      <c r="O21" s="140">
        <v>0</v>
      </c>
      <c r="P21" s="140">
        <f t="shared" si="3"/>
        <v>8686</v>
      </c>
      <c r="Q21" s="140"/>
      <c r="R21" s="140">
        <f t="shared" si="4"/>
        <v>8686</v>
      </c>
      <c r="S21" s="141">
        <v>5850</v>
      </c>
      <c r="T21" s="140">
        <f t="shared" si="5"/>
        <v>14536</v>
      </c>
      <c r="U21" s="142">
        <v>15675</v>
      </c>
      <c r="V21" s="36">
        <f t="shared" si="6"/>
        <v>-1139</v>
      </c>
      <c r="X21">
        <v>1679</v>
      </c>
    </row>
    <row r="22" spans="1:25" ht="14.4" x14ac:dyDescent="0.3">
      <c r="A22" s="144" t="s">
        <v>60</v>
      </c>
      <c r="B22" s="145">
        <v>0</v>
      </c>
      <c r="C22" s="145">
        <v>0</v>
      </c>
      <c r="D22" s="145">
        <v>6300</v>
      </c>
      <c r="E22" s="145">
        <f t="shared" si="0"/>
        <v>6300</v>
      </c>
      <c r="F22" s="145">
        <v>2913</v>
      </c>
      <c r="G22" s="140">
        <f t="shared" si="7"/>
        <v>3387</v>
      </c>
      <c r="H22" s="129"/>
      <c r="I22" s="144" t="s">
        <v>60</v>
      </c>
      <c r="J22" s="145">
        <v>13154</v>
      </c>
      <c r="K22" s="145">
        <v>2746</v>
      </c>
      <c r="L22" s="145">
        <f t="shared" si="1"/>
        <v>10408</v>
      </c>
      <c r="M22" s="145">
        <v>3643</v>
      </c>
      <c r="N22" s="145">
        <f t="shared" si="2"/>
        <v>6765</v>
      </c>
      <c r="O22" s="145">
        <v>0</v>
      </c>
      <c r="P22" s="145">
        <f t="shared" si="3"/>
        <v>6765</v>
      </c>
      <c r="Q22" s="145"/>
      <c r="R22" s="145">
        <f t="shared" si="4"/>
        <v>6765</v>
      </c>
      <c r="S22" s="145">
        <v>6300</v>
      </c>
      <c r="T22" s="145">
        <f t="shared" si="5"/>
        <v>13065</v>
      </c>
      <c r="U22" s="152">
        <v>21030</v>
      </c>
      <c r="V22" s="36">
        <f t="shared" si="6"/>
        <v>-7965</v>
      </c>
      <c r="X22">
        <v>1206</v>
      </c>
    </row>
    <row r="23" spans="1:25" ht="14.4" x14ac:dyDescent="0.3">
      <c r="A23" s="144" t="s">
        <v>61</v>
      </c>
      <c r="B23" s="153">
        <v>0</v>
      </c>
      <c r="C23" s="145">
        <v>0</v>
      </c>
      <c r="D23" s="154">
        <v>10950</v>
      </c>
      <c r="E23" s="155">
        <f t="shared" si="0"/>
        <v>10950</v>
      </c>
      <c r="F23" s="155">
        <v>4661</v>
      </c>
      <c r="G23" s="140">
        <f t="shared" si="7"/>
        <v>6289</v>
      </c>
      <c r="H23" s="156"/>
      <c r="I23" s="144" t="s">
        <v>61</v>
      </c>
      <c r="J23" s="145">
        <v>26019</v>
      </c>
      <c r="K23" s="145">
        <v>4051</v>
      </c>
      <c r="L23" s="145">
        <f t="shared" si="1"/>
        <v>21968</v>
      </c>
      <c r="M23" s="145">
        <v>6625</v>
      </c>
      <c r="N23" s="145">
        <f t="shared" si="2"/>
        <v>15343</v>
      </c>
      <c r="O23" s="145">
        <v>0</v>
      </c>
      <c r="P23" s="145">
        <f>+N23+O23</f>
        <v>15343</v>
      </c>
      <c r="Q23" s="145"/>
      <c r="R23" s="145">
        <f t="shared" si="4"/>
        <v>15343</v>
      </c>
      <c r="S23" s="145">
        <v>9170</v>
      </c>
      <c r="T23" s="145">
        <f t="shared" si="5"/>
        <v>24513</v>
      </c>
      <c r="U23" s="157">
        <v>29610</v>
      </c>
      <c r="V23" s="36">
        <f t="shared" si="6"/>
        <v>-5097</v>
      </c>
      <c r="X23">
        <v>2555</v>
      </c>
    </row>
    <row r="24" spans="1:25" ht="14.4" x14ac:dyDescent="0.3">
      <c r="A24" s="144" t="s">
        <v>110</v>
      </c>
      <c r="B24" s="158">
        <v>0</v>
      </c>
      <c r="C24" s="159">
        <v>0</v>
      </c>
      <c r="D24" s="159">
        <v>6132</v>
      </c>
      <c r="E24" s="155">
        <f t="shared" si="0"/>
        <v>6132</v>
      </c>
      <c r="F24" s="159">
        <v>2571</v>
      </c>
      <c r="G24" s="140">
        <f t="shared" si="7"/>
        <v>3561</v>
      </c>
      <c r="H24" s="129"/>
      <c r="I24" s="144" t="s">
        <v>110</v>
      </c>
      <c r="J24" s="145">
        <v>13386</v>
      </c>
      <c r="K24" s="145">
        <v>1494</v>
      </c>
      <c r="L24" s="145">
        <f t="shared" si="1"/>
        <v>11892</v>
      </c>
      <c r="M24" s="145">
        <v>3077</v>
      </c>
      <c r="N24" s="145">
        <f t="shared" si="2"/>
        <v>8815</v>
      </c>
      <c r="O24" s="145">
        <v>0</v>
      </c>
      <c r="P24" s="145">
        <f>+N24+O24</f>
        <v>8815</v>
      </c>
      <c r="Q24" s="145"/>
      <c r="R24" s="145">
        <f t="shared" si="4"/>
        <v>8815</v>
      </c>
      <c r="S24" s="145">
        <v>9450</v>
      </c>
      <c r="T24" s="145">
        <f t="shared" si="5"/>
        <v>18265</v>
      </c>
      <c r="U24" s="157">
        <v>29733</v>
      </c>
      <c r="V24" s="36">
        <f>T24-U24</f>
        <v>-11468</v>
      </c>
    </row>
    <row r="25" spans="1:25" ht="14.4" x14ac:dyDescent="0.3">
      <c r="A25" s="195" t="s">
        <v>114</v>
      </c>
      <c r="B25" s="158">
        <v>0</v>
      </c>
      <c r="C25" s="159">
        <v>0</v>
      </c>
      <c r="D25" s="160"/>
      <c r="E25" s="159" t="s">
        <v>0</v>
      </c>
      <c r="F25" s="159"/>
      <c r="G25" s="159"/>
      <c r="H25" s="129"/>
      <c r="I25" s="195" t="s">
        <v>114</v>
      </c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61"/>
    </row>
    <row r="26" spans="1:25" x14ac:dyDescent="0.25">
      <c r="A26" s="162" t="s">
        <v>94</v>
      </c>
      <c r="B26" s="163">
        <f t="shared" ref="B26:G26" si="8">SUM(B4:B25)</f>
        <v>2625</v>
      </c>
      <c r="C26" s="163">
        <f t="shared" si="8"/>
        <v>0</v>
      </c>
      <c r="D26" s="163">
        <f t="shared" si="8"/>
        <v>135030</v>
      </c>
      <c r="E26" s="163">
        <f t="shared" si="8"/>
        <v>137655</v>
      </c>
      <c r="F26" s="163">
        <f t="shared" si="8"/>
        <v>62474</v>
      </c>
      <c r="G26" s="163">
        <f t="shared" si="8"/>
        <v>75181</v>
      </c>
      <c r="H26" s="164"/>
      <c r="I26" s="162" t="s">
        <v>94</v>
      </c>
      <c r="J26" s="163">
        <f>SUM(J4:J25)</f>
        <v>330465</v>
      </c>
      <c r="K26" s="163">
        <f>SUM(K4:K25)</f>
        <v>48915</v>
      </c>
      <c r="L26" s="163">
        <f>SUM(L4:L25)</f>
        <v>281550</v>
      </c>
      <c r="M26" s="163">
        <f>SUM(M4:M25)</f>
        <v>76963</v>
      </c>
      <c r="N26" s="163">
        <f>SUM(N4:N25)</f>
        <v>204587</v>
      </c>
      <c r="O26" s="163">
        <f>SUM(O4:O24)</f>
        <v>0</v>
      </c>
      <c r="P26" s="163">
        <f>SUM(P4:P25)</f>
        <v>204587</v>
      </c>
      <c r="Q26" s="163"/>
      <c r="R26" s="163">
        <f>SUM(R4:R25)</f>
        <v>206387</v>
      </c>
      <c r="S26" s="163">
        <f>SUM(S4:S25)</f>
        <v>138610</v>
      </c>
      <c r="T26" s="163">
        <f>SUM(T4:T25)</f>
        <v>344997</v>
      </c>
      <c r="U26" s="163">
        <f>SUM(U4:U25)</f>
        <v>422250</v>
      </c>
      <c r="V26" s="163">
        <f>SUM(V4:V25)</f>
        <v>-77253</v>
      </c>
    </row>
    <row r="27" spans="1:25" x14ac:dyDescent="0.25">
      <c r="G27" s="165"/>
      <c r="I27" s="99"/>
      <c r="J27" t="s">
        <v>0</v>
      </c>
      <c r="K27" s="166"/>
      <c r="L27" t="s">
        <v>0</v>
      </c>
      <c r="M27" t="s">
        <v>0</v>
      </c>
      <c r="N27" t="s">
        <v>0</v>
      </c>
      <c r="O27" s="167"/>
      <c r="Q27" s="166"/>
      <c r="S27" s="166"/>
      <c r="T27" s="45"/>
      <c r="U27" s="166"/>
      <c r="V27" s="167"/>
      <c r="W27" t="s">
        <v>95</v>
      </c>
      <c r="X27" s="168" t="s">
        <v>0</v>
      </c>
      <c r="Y27" t="s">
        <v>0</v>
      </c>
    </row>
    <row r="28" spans="1:25" x14ac:dyDescent="0.25">
      <c r="A28" s="207"/>
      <c r="B28" s="207"/>
      <c r="C28" s="207"/>
      <c r="D28" s="207"/>
      <c r="E28" s="207"/>
      <c r="I28" s="208" t="s">
        <v>0</v>
      </c>
      <c r="J28" s="208"/>
      <c r="K28" t="s">
        <v>0</v>
      </c>
      <c r="L28" t="s">
        <v>0</v>
      </c>
      <c r="M28" t="s">
        <v>0</v>
      </c>
      <c r="O28" s="169">
        <v>6</v>
      </c>
      <c r="P28" s="170"/>
      <c r="Q28" s="170"/>
      <c r="R28" s="170"/>
      <c r="S28" s="170"/>
      <c r="T28" s="170"/>
      <c r="U28" s="170"/>
      <c r="W28" t="s">
        <v>0</v>
      </c>
      <c r="X28" t="s">
        <v>0</v>
      </c>
      <c r="Y28" t="s">
        <v>0</v>
      </c>
    </row>
    <row r="29" spans="1:25" x14ac:dyDescent="0.25">
      <c r="F29" s="45"/>
      <c r="I29" s="171"/>
      <c r="O29" s="170">
        <v>58</v>
      </c>
      <c r="P29" s="170"/>
      <c r="Q29" s="170"/>
      <c r="R29" s="170"/>
      <c r="S29" s="170">
        <v>48800</v>
      </c>
      <c r="T29" s="170"/>
      <c r="U29" s="170"/>
      <c r="V29" t="s">
        <v>0</v>
      </c>
    </row>
    <row r="30" spans="1:25" x14ac:dyDescent="0.25">
      <c r="O30" s="170" t="s">
        <v>96</v>
      </c>
      <c r="P30" s="170"/>
      <c r="Q30" s="170"/>
      <c r="R30" s="170"/>
      <c r="S30" s="170" t="s">
        <v>97</v>
      </c>
      <c r="T30" s="170"/>
      <c r="U30" s="170"/>
    </row>
    <row r="31" spans="1:25" x14ac:dyDescent="0.25">
      <c r="O31" s="170">
        <v>63550</v>
      </c>
      <c r="P31" s="170"/>
      <c r="Q31" s="170"/>
      <c r="R31" s="170"/>
      <c r="S31" s="170">
        <v>51300</v>
      </c>
      <c r="T31" s="170"/>
      <c r="U31" s="170"/>
    </row>
    <row r="32" spans="1:25" x14ac:dyDescent="0.25">
      <c r="O32" s="170">
        <v>74640</v>
      </c>
      <c r="P32" s="170"/>
      <c r="Q32" s="170"/>
      <c r="R32" s="170"/>
      <c r="S32" s="170" t="s">
        <v>98</v>
      </c>
      <c r="T32" s="170"/>
      <c r="U32" s="170"/>
    </row>
    <row r="33" spans="15:21" x14ac:dyDescent="0.25">
      <c r="O33" s="170" t="s">
        <v>99</v>
      </c>
      <c r="P33" s="170"/>
      <c r="Q33" s="170"/>
      <c r="R33" s="170"/>
      <c r="S33" s="170">
        <v>60300</v>
      </c>
      <c r="T33" s="170"/>
      <c r="U33" s="170"/>
    </row>
    <row r="34" spans="15:21" x14ac:dyDescent="0.25">
      <c r="O34" s="170">
        <v>65640</v>
      </c>
      <c r="P34" s="170"/>
      <c r="Q34" s="170"/>
      <c r="R34" s="170"/>
      <c r="S34" s="170" t="s">
        <v>100</v>
      </c>
      <c r="T34" s="170"/>
      <c r="U34" s="170"/>
    </row>
    <row r="35" spans="15:21" x14ac:dyDescent="0.25">
      <c r="O35" s="170" t="s">
        <v>101</v>
      </c>
      <c r="P35" s="170"/>
      <c r="Q35" s="170"/>
      <c r="R35" s="170"/>
      <c r="S35" s="170" t="s">
        <v>102</v>
      </c>
      <c r="T35" s="170"/>
      <c r="U35" s="170"/>
    </row>
    <row r="36" spans="15:21" x14ac:dyDescent="0.25">
      <c r="O36" s="170">
        <v>60140</v>
      </c>
      <c r="P36" s="170"/>
      <c r="Q36" s="170"/>
      <c r="R36" s="170"/>
      <c r="S36" s="170">
        <v>65600</v>
      </c>
      <c r="T36" s="170"/>
      <c r="U36" s="170"/>
    </row>
    <row r="37" spans="15:21" x14ac:dyDescent="0.25">
      <c r="O37" s="170" t="s">
        <v>103</v>
      </c>
      <c r="P37" s="170"/>
      <c r="Q37" s="170"/>
      <c r="R37" s="170"/>
      <c r="S37" s="170"/>
      <c r="T37" s="170"/>
      <c r="U37" s="170"/>
    </row>
    <row r="38" spans="15:21" x14ac:dyDescent="0.25">
      <c r="O38" s="170">
        <v>58140</v>
      </c>
      <c r="P38" s="170"/>
      <c r="Q38" s="170"/>
      <c r="R38" s="170"/>
      <c r="S38" s="170"/>
      <c r="T38" s="170"/>
      <c r="U38" s="170"/>
    </row>
  </sheetData>
  <mergeCells count="2">
    <mergeCell ref="A28:E28"/>
    <mergeCell ref="I28:J28"/>
  </mergeCells>
  <pageMargins left="0" right="0" top="0" bottom="0" header="0" footer="0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Rack Units Report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Cole</dc:creator>
  <cp:lastModifiedBy>Jason Cole</cp:lastModifiedBy>
  <cp:lastPrinted>2026-03-19T12:25:54Z</cp:lastPrinted>
  <dcterms:created xsi:type="dcterms:W3CDTF">2025-08-18T19:04:32Z</dcterms:created>
  <dcterms:modified xsi:type="dcterms:W3CDTF">2026-04-07T17:11:45Z</dcterms:modified>
</cp:coreProperties>
</file>