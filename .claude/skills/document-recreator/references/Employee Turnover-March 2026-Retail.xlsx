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Raulston\Documents\HR Reports\Monthly Turnover\"/>
    </mc:Choice>
  </mc:AlternateContent>
  <xr:revisionPtr revIDLastSave="0" documentId="13_ncr:1_{04E533F9-BBAC-43C2-8239-CFF6D9201E78}" xr6:coauthVersionLast="47" xr6:coauthVersionMax="47" xr10:uidLastSave="{00000000-0000-0000-0000-000000000000}"/>
  <bookViews>
    <workbookView xWindow="20370" yWindow="-3255" windowWidth="29040" windowHeight="16440" tabRatio="784" xr2:uid="{00000000-000D-0000-FFFF-FFFF00000000}"/>
  </bookViews>
  <sheets>
    <sheet name="Retail Turnover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6" i="6" l="1"/>
  <c r="M26" i="6"/>
  <c r="K26" i="6"/>
  <c r="J26" i="6"/>
  <c r="L26" i="6" s="1"/>
  <c r="I26" i="6"/>
  <c r="F26" i="6"/>
  <c r="E26" i="6"/>
  <c r="D26" i="6"/>
  <c r="C26" i="6"/>
  <c r="H26" i="6"/>
</calcChain>
</file>

<file path=xl/sharedStrings.xml><?xml version="1.0" encoding="utf-8"?>
<sst xmlns="http://schemas.openxmlformats.org/spreadsheetml/2006/main" count="63" uniqueCount="63">
  <si>
    <t>Montgomery Store</t>
  </si>
  <si>
    <t>Florence Store</t>
  </si>
  <si>
    <t>Cheviot Store</t>
  </si>
  <si>
    <t>Hamilton Store</t>
  </si>
  <si>
    <t>Lawrenceburg Store</t>
  </si>
  <si>
    <t>Deerfield Store</t>
  </si>
  <si>
    <t>Bellevue Store</t>
  </si>
  <si>
    <t>Shop Goodwill</t>
  </si>
  <si>
    <t>Harrison Store</t>
  </si>
  <si>
    <t>Beechmont Store</t>
  </si>
  <si>
    <t>West Chester Store</t>
  </si>
  <si>
    <t>Oakley Store</t>
  </si>
  <si>
    <t>Fairfield Store</t>
  </si>
  <si>
    <t>Mason Store</t>
  </si>
  <si>
    <t>Lebanon Store</t>
  </si>
  <si>
    <t>Independence Store</t>
  </si>
  <si>
    <t>Loveland Store</t>
  </si>
  <si>
    <t>Oxford Store</t>
  </si>
  <si>
    <t>Batesville Store</t>
  </si>
  <si>
    <t>Dept #</t>
  </si>
  <si>
    <t>000</t>
  </si>
  <si>
    <t>011</t>
  </si>
  <si>
    <t>012</t>
  </si>
  <si>
    <t>014</t>
  </si>
  <si>
    <t>015</t>
  </si>
  <si>
    <t>016</t>
  </si>
  <si>
    <t>017</t>
  </si>
  <si>
    <t>018</t>
  </si>
  <si>
    <t>019</t>
  </si>
  <si>
    <t>020</t>
  </si>
  <si>
    <t>021</t>
  </si>
  <si>
    <t>023</t>
  </si>
  <si>
    <t>024</t>
  </si>
  <si>
    <t>025</t>
  </si>
  <si>
    <t>026</t>
  </si>
  <si>
    <t>027</t>
  </si>
  <si>
    <t>029</t>
  </si>
  <si>
    <t>030</t>
  </si>
  <si>
    <t>031</t>
  </si>
  <si>
    <t>032</t>
  </si>
  <si>
    <t>033</t>
  </si>
  <si>
    <t>Retail Total</t>
  </si>
  <si>
    <t>Current Employees</t>
  </si>
  <si>
    <t>Average Pay Rate</t>
  </si>
  <si>
    <t>Current Month Terms</t>
  </si>
  <si>
    <t>Current Month Turnover</t>
  </si>
  <si>
    <t>YTD Terms</t>
  </si>
  <si>
    <t>YTD Annualized Turnover %</t>
  </si>
  <si>
    <t>YTD Annualized Cost of Turnover</t>
  </si>
  <si>
    <t>YTD Terms Pre 91</t>
  </si>
  <si>
    <t>Current Sum of FTE</t>
  </si>
  <si>
    <t>Current Month Terms Pre 91</t>
  </si>
  <si>
    <t>Delhi Store</t>
  </si>
  <si>
    <t>034</t>
  </si>
  <si>
    <t>Princeton Road Store</t>
  </si>
  <si>
    <t>035</t>
  </si>
  <si>
    <t>Exempt Count</t>
  </si>
  <si>
    <t>Non-Exempt Count</t>
  </si>
  <si>
    <t>Tri-County Store</t>
  </si>
  <si>
    <t>Mt. Washington Store</t>
  </si>
  <si>
    <t>Colerain Store</t>
  </si>
  <si>
    <t>036</t>
  </si>
  <si>
    <t>Dept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</si>
</sst>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8" formatCode="0.0%"/>
    <numFmt numFmtId="169" formatCode="&quot;$&quot;#,##0.00"/>
    <numFmt numFmtId="170" formatCode="&quot;$&quot;#,##0"/>
    <numFmt numFmtId="171" formatCode="0.0"/>
  </numFmts>
  <fonts count="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2" fillId="0" borderId="0"/>
    <xf numFmtId="0" fontId="1" fillId="0" borderId="0"/>
    <xf numFmtId="44" fontId="5" fillId="0" borderId="0" applyFont="0" applyFill="0" applyBorder="0" applyAlignment="0" applyProtection="0"/>
  </cellStyleXfs>
  <cellXfs count="23">
    <xf numFmtId="0" fontId="0" fillId="0" borderId="0" xfId="0"/>
    <xf numFmtId="1" fontId="3" fillId="2" borderId="1" xfId="1" applyNumberFormat="1" applyFont="1" applyFill="1" applyBorder="1" applyAlignment="1">
      <alignment horizontal="center" wrapText="1"/>
    </xf>
    <xf numFmtId="2" fontId="3" fillId="2" borderId="1" xfId="1" applyNumberFormat="1" applyFont="1" applyFill="1" applyBorder="1" applyAlignment="1">
      <alignment horizontal="center" wrapText="1"/>
    </xf>
    <xf numFmtId="9" fontId="3" fillId="2" borderId="1" xfId="1" applyNumberFormat="1" applyFont="1" applyFill="1" applyBorder="1" applyAlignment="1">
      <alignment horizontal="center" wrapText="1"/>
    </xf>
    <xf numFmtId="4" fontId="3" fillId="2" borderId="1" xfId="1" applyNumberFormat="1" applyFont="1" applyFill="1" applyBorder="1" applyAlignment="1">
      <alignment horizontal="center" wrapText="1"/>
    </xf>
    <xf numFmtId="1" fontId="3" fillId="2" borderId="1" xfId="2" applyNumberFormat="1" applyFont="1" applyFill="1" applyBorder="1" applyAlignment="1">
      <alignment horizontal="center" wrapText="1"/>
    </xf>
    <xf numFmtId="171" fontId="3" fillId="2" borderId="1" xfId="1" applyNumberFormat="1" applyFont="1" applyFill="1" applyBorder="1" applyAlignment="1">
      <alignment horizontal="center" wrapText="1"/>
    </xf>
    <xf numFmtId="0" fontId="3" fillId="2" borderId="1" xfId="1" applyFont="1" applyFill="1" applyBorder="1" applyAlignment="1">
      <alignment horizontal="center" wrapText="1"/>
    </xf>
    <xf numFmtId="0" fontId="4" fillId="0" borderId="1" xfId="1" applyFont="1" applyBorder="1"/>
    <xf numFmtId="1" fontId="4" fillId="0" borderId="1" xfId="1" applyNumberFormat="1" applyFont="1" applyBorder="1" applyAlignment="1">
      <alignment horizontal="right"/>
    </xf>
    <xf numFmtId="171" fontId="4" fillId="0" borderId="1" xfId="1" applyNumberFormat="1" applyFont="1" applyBorder="1" applyAlignment="1">
      <alignment horizontal="right"/>
    </xf>
    <xf numFmtId="169" fontId="4" fillId="0" borderId="1" xfId="1" applyNumberFormat="1" applyFont="1" applyBorder="1" applyAlignment="1">
      <alignment horizontal="right"/>
    </xf>
    <xf numFmtId="168" fontId="4" fillId="0" borderId="1" xfId="1" applyNumberFormat="1" applyFont="1" applyBorder="1" applyAlignment="1">
      <alignment horizontal="right"/>
    </xf>
    <xf numFmtId="170" fontId="4" fillId="0" borderId="1" xfId="5" applyNumberFormat="1" applyFont="1" applyBorder="1" applyAlignment="1">
      <alignment horizontal="right"/>
    </xf>
    <xf numFmtId="49" fontId="4" fillId="0" borderId="1" xfId="1" applyNumberFormat="1" applyFont="1" applyBorder="1"/>
    <xf numFmtId="0" fontId="3" fillId="0" borderId="1" xfId="1" applyFont="1" applyBorder="1"/>
    <xf numFmtId="1" fontId="3" fillId="0" borderId="1" xfId="1" applyNumberFormat="1" applyFont="1" applyBorder="1" applyAlignment="1">
      <alignment horizontal="right"/>
    </xf>
    <xf numFmtId="171" fontId="3" fillId="0" borderId="1" xfId="1" applyNumberFormat="1" applyFont="1" applyBorder="1" applyAlignment="1">
      <alignment horizontal="right"/>
    </xf>
    <xf numFmtId="169" fontId="3" fillId="0" borderId="1" xfId="1" applyNumberFormat="1" applyFont="1" applyBorder="1" applyAlignment="1">
      <alignment horizontal="right"/>
    </xf>
    <xf numFmtId="168" fontId="3" fillId="0" borderId="1" xfId="1" applyNumberFormat="1" applyFont="1" applyBorder="1" applyAlignment="1">
      <alignment horizontal="right"/>
    </xf>
    <xf numFmtId="170" fontId="3" fillId="0" borderId="1" xfId="5" applyNumberFormat="1" applyFont="1" applyBorder="1" applyAlignment="1">
      <alignment horizontal="right"/>
    </xf>
    <xf numFmtId="1" fontId="3" fillId="0" borderId="1" xfId="1" applyNumberFormat="1" applyFont="1" applyBorder="1"/>
    <xf numFmtId="0" fontId="4" fillId="0" borderId="1" xfId="3" applyFont="1" applyBorder="1"/>
  </cellXfs>
  <cellStyles count="6">
    <cellStyle name="Currency" xfId="5" builtinId="4"/>
    <cellStyle name="Normal" xfId="0" builtinId="0"/>
    <cellStyle name="Normal 2" xfId="4" xr:uid="{429D25DC-A8DA-4F4F-ACBF-A5A60AF3C2FF}"/>
    <cellStyle name="Normal_&gt;=100_Turnover" xfId="2" xr:uid="{8C51DEF8-9A92-4784-9F47-2152FB996D70}"/>
    <cellStyle name="Normal_Sheet1" xfId="1" xr:uid="{3408C836-D2C7-4437-B7C9-B71C06849051}"/>
    <cellStyle name="Normal_Sheet1_1" xfId="3" xr:uid="{23C869DA-1690-496F-8473-F20FA79595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464BC-6016-45D9-B60F-05F6918AABFB}">
  <dimension ref="A1:N26"/>
  <sheetViews>
    <sheetView tabSelected="1" workbookViewId="0"/>
  </sheetViews>
  <sheetFormatPr defaultColWidth="6" defaultRowHeight="15" x14ac:dyDescent="0.25"/>
  <cols>
    <col min="1" max="1" width="25.28515625" bestFit="1" customWidth="1"/>
    <col min="2" max="2" width="6.7109375" bestFit="1" customWidth="1"/>
    <col min="3" max="3" width="11.140625" bestFit="1" customWidth="1"/>
    <col min="4" max="4" width="10.5703125" bestFit="1" customWidth="1"/>
    <col min="5" max="5" width="9.5703125" bestFit="1" customWidth="1"/>
    <col min="6" max="6" width="6.42578125" bestFit="1" customWidth="1"/>
    <col min="7" max="7" width="11" bestFit="1" customWidth="1"/>
    <col min="8" max="8" width="15.42578125" bestFit="1" customWidth="1"/>
    <col min="9" max="9" width="6.42578125" bestFit="1" customWidth="1"/>
    <col min="10" max="10" width="14.28515625" bestFit="1" customWidth="1"/>
    <col min="11" max="11" width="14.28515625" customWidth="1"/>
    <col min="12" max="12" width="14.28515625" bestFit="1" customWidth="1"/>
    <col min="13" max="13" width="7.7109375" bestFit="1" customWidth="1"/>
    <col min="14" max="14" width="8.28515625" customWidth="1"/>
  </cols>
  <sheetData>
    <row r="1" spans="1:14" ht="45" x14ac:dyDescent="0.25">
      <c r="A1" s="7" t="s">
        <v>62</v>
      </c>
      <c r="B1" s="7" t="s">
        <v>19</v>
      </c>
      <c r="C1" s="1" t="s">
        <v>42</v>
      </c>
      <c r="D1" s="6" t="s">
        <v>50</v>
      </c>
      <c r="E1" s="2" t="s">
        <v>43</v>
      </c>
      <c r="F1" s="1" t="s">
        <v>46</v>
      </c>
      <c r="G1" s="3" t="s">
        <v>47</v>
      </c>
      <c r="H1" s="4" t="s">
        <v>48</v>
      </c>
      <c r="I1" s="1" t="s">
        <v>49</v>
      </c>
      <c r="J1" s="5" t="s">
        <v>44</v>
      </c>
      <c r="K1" s="1" t="s">
        <v>51</v>
      </c>
      <c r="L1" s="5" t="s">
        <v>45</v>
      </c>
      <c r="M1" s="5" t="s">
        <v>56</v>
      </c>
      <c r="N1" s="5" t="s">
        <v>57</v>
      </c>
    </row>
    <row r="2" spans="1:14" x14ac:dyDescent="0.25">
      <c r="A2" s="22" t="s">
        <v>7</v>
      </c>
      <c r="B2" s="8" t="s">
        <v>20</v>
      </c>
      <c r="C2" s="9">
        <v>19</v>
      </c>
      <c r="D2" s="10">
        <v>18.700000000000003</v>
      </c>
      <c r="E2" s="11">
        <v>15.229473684210523</v>
      </c>
      <c r="F2" s="9">
        <v>4</v>
      </c>
      <c r="G2" s="12">
        <v>0.84210526315789469</v>
      </c>
      <c r="H2" s="13">
        <v>6000</v>
      </c>
      <c r="I2" s="9">
        <v>0</v>
      </c>
      <c r="J2" s="9">
        <v>2</v>
      </c>
      <c r="K2" s="9">
        <v>0</v>
      </c>
      <c r="L2" s="12">
        <v>0.10526315789473684</v>
      </c>
      <c r="M2" s="9">
        <v>2</v>
      </c>
      <c r="N2" s="9">
        <v>17</v>
      </c>
    </row>
    <row r="3" spans="1:14" x14ac:dyDescent="0.25">
      <c r="A3" s="22" t="s">
        <v>58</v>
      </c>
      <c r="B3" s="8" t="s">
        <v>21</v>
      </c>
      <c r="C3" s="9">
        <v>34</v>
      </c>
      <c r="D3" s="10">
        <v>26.630000000000003</v>
      </c>
      <c r="E3" s="11">
        <v>14.494705882352942</v>
      </c>
      <c r="F3" s="9">
        <v>15</v>
      </c>
      <c r="G3" s="12">
        <v>1.7647058823529411</v>
      </c>
      <c r="H3" s="13">
        <v>22500</v>
      </c>
      <c r="I3" s="9">
        <v>7</v>
      </c>
      <c r="J3" s="9">
        <v>8</v>
      </c>
      <c r="K3" s="9">
        <v>2</v>
      </c>
      <c r="L3" s="12">
        <v>0.23529411764705882</v>
      </c>
      <c r="M3" s="9">
        <v>0</v>
      </c>
      <c r="N3" s="9">
        <v>34</v>
      </c>
    </row>
    <row r="4" spans="1:14" x14ac:dyDescent="0.25">
      <c r="A4" s="22" t="s">
        <v>2</v>
      </c>
      <c r="B4" s="8" t="s">
        <v>22</v>
      </c>
      <c r="C4" s="9">
        <v>15</v>
      </c>
      <c r="D4" s="10">
        <v>13.100000000000001</v>
      </c>
      <c r="E4" s="11">
        <v>14.749333333333334</v>
      </c>
      <c r="F4" s="9">
        <v>2</v>
      </c>
      <c r="G4" s="12">
        <v>0.53333333333333333</v>
      </c>
      <c r="H4" s="13">
        <v>3000</v>
      </c>
      <c r="I4" s="9">
        <v>1</v>
      </c>
      <c r="J4" s="9">
        <v>1</v>
      </c>
      <c r="K4" s="9">
        <v>1</v>
      </c>
      <c r="L4" s="12">
        <v>6.6666666666666666E-2</v>
      </c>
      <c r="M4" s="9">
        <v>1</v>
      </c>
      <c r="N4" s="9">
        <v>14</v>
      </c>
    </row>
    <row r="5" spans="1:14" x14ac:dyDescent="0.25">
      <c r="A5" s="22" t="s">
        <v>15</v>
      </c>
      <c r="B5" s="8" t="s">
        <v>23</v>
      </c>
      <c r="C5" s="9">
        <v>11</v>
      </c>
      <c r="D5" s="10">
        <v>8.6999999999999993</v>
      </c>
      <c r="E5" s="11">
        <v>15.347272727272726</v>
      </c>
      <c r="F5" s="9">
        <v>3</v>
      </c>
      <c r="G5" s="12">
        <v>1.0909090909090908</v>
      </c>
      <c r="H5" s="13">
        <v>4500</v>
      </c>
      <c r="I5" s="9">
        <v>1</v>
      </c>
      <c r="J5" s="9">
        <v>0</v>
      </c>
      <c r="K5" s="9">
        <v>0</v>
      </c>
      <c r="L5" s="12">
        <v>0</v>
      </c>
      <c r="M5" s="9">
        <v>1</v>
      </c>
      <c r="N5" s="9">
        <v>10</v>
      </c>
    </row>
    <row r="6" spans="1:14" x14ac:dyDescent="0.25">
      <c r="A6" s="22" t="s">
        <v>3</v>
      </c>
      <c r="B6" s="8" t="s">
        <v>24</v>
      </c>
      <c r="C6" s="9">
        <v>21</v>
      </c>
      <c r="D6" s="10">
        <v>17.059999999999999</v>
      </c>
      <c r="E6" s="11">
        <v>14.33666666666667</v>
      </c>
      <c r="F6" s="9">
        <v>2</v>
      </c>
      <c r="G6" s="12">
        <v>0.38095238095238093</v>
      </c>
      <c r="H6" s="13">
        <v>3000</v>
      </c>
      <c r="I6" s="9">
        <v>1</v>
      </c>
      <c r="J6" s="9">
        <v>0</v>
      </c>
      <c r="K6" s="9">
        <v>0</v>
      </c>
      <c r="L6" s="12">
        <v>0</v>
      </c>
      <c r="M6" s="9">
        <v>1</v>
      </c>
      <c r="N6" s="9">
        <v>20</v>
      </c>
    </row>
    <row r="7" spans="1:14" x14ac:dyDescent="0.25">
      <c r="A7" s="22" t="s">
        <v>11</v>
      </c>
      <c r="B7" s="8" t="s">
        <v>25</v>
      </c>
      <c r="C7" s="9">
        <v>13</v>
      </c>
      <c r="D7" s="10">
        <v>12.200000000000001</v>
      </c>
      <c r="E7" s="11">
        <v>14.678461538461537</v>
      </c>
      <c r="F7" s="9">
        <v>8</v>
      </c>
      <c r="G7" s="12">
        <v>2.4615384615384617</v>
      </c>
      <c r="H7" s="13">
        <v>12000</v>
      </c>
      <c r="I7" s="9">
        <v>2</v>
      </c>
      <c r="J7" s="9">
        <v>4</v>
      </c>
      <c r="K7" s="9">
        <v>1</v>
      </c>
      <c r="L7" s="12">
        <v>0.30769230769230771</v>
      </c>
      <c r="M7" s="9">
        <v>1</v>
      </c>
      <c r="N7" s="9">
        <v>12</v>
      </c>
    </row>
    <row r="8" spans="1:14" x14ac:dyDescent="0.25">
      <c r="A8" s="22" t="s">
        <v>14</v>
      </c>
      <c r="B8" s="8" t="s">
        <v>26</v>
      </c>
      <c r="C8" s="9">
        <v>15</v>
      </c>
      <c r="D8" s="10">
        <v>12.9</v>
      </c>
      <c r="E8" s="11">
        <v>15.193333333333332</v>
      </c>
      <c r="F8" s="9">
        <v>3</v>
      </c>
      <c r="G8" s="12">
        <v>0.8</v>
      </c>
      <c r="H8" s="13">
        <v>4500</v>
      </c>
      <c r="I8" s="9">
        <v>0</v>
      </c>
      <c r="J8" s="9">
        <v>1</v>
      </c>
      <c r="K8" s="9">
        <v>0</v>
      </c>
      <c r="L8" s="12">
        <v>6.6666666666666666E-2</v>
      </c>
      <c r="M8" s="9">
        <v>1</v>
      </c>
      <c r="N8" s="9">
        <v>14</v>
      </c>
    </row>
    <row r="9" spans="1:14" x14ac:dyDescent="0.25">
      <c r="A9" s="22" t="s">
        <v>16</v>
      </c>
      <c r="B9" s="8" t="s">
        <v>27</v>
      </c>
      <c r="C9" s="9">
        <v>21</v>
      </c>
      <c r="D9" s="10">
        <v>18.490000000000002</v>
      </c>
      <c r="E9" s="11">
        <v>13.936666666666664</v>
      </c>
      <c r="F9" s="9">
        <v>5</v>
      </c>
      <c r="G9" s="12">
        <v>0.95238095238095233</v>
      </c>
      <c r="H9" s="13">
        <v>7500</v>
      </c>
      <c r="I9" s="9">
        <v>3</v>
      </c>
      <c r="J9" s="9">
        <v>2</v>
      </c>
      <c r="K9" s="9">
        <v>1</v>
      </c>
      <c r="L9" s="12">
        <v>9.5238095238095233E-2</v>
      </c>
      <c r="M9" s="9">
        <v>1</v>
      </c>
      <c r="N9" s="9">
        <v>20</v>
      </c>
    </row>
    <row r="10" spans="1:14" x14ac:dyDescent="0.25">
      <c r="A10" s="22" t="s">
        <v>6</v>
      </c>
      <c r="B10" s="8" t="s">
        <v>28</v>
      </c>
      <c r="C10" s="9">
        <v>18</v>
      </c>
      <c r="D10" s="10">
        <v>15.5</v>
      </c>
      <c r="E10" s="11">
        <v>14.195555555555554</v>
      </c>
      <c r="F10" s="9">
        <v>5</v>
      </c>
      <c r="G10" s="12">
        <v>1.1111111111111112</v>
      </c>
      <c r="H10" s="13">
        <v>7500</v>
      </c>
      <c r="I10" s="9">
        <v>4</v>
      </c>
      <c r="J10" s="9">
        <v>1</v>
      </c>
      <c r="K10" s="9">
        <v>1</v>
      </c>
      <c r="L10" s="12">
        <v>5.5555555555555552E-2</v>
      </c>
      <c r="M10" s="9">
        <v>1</v>
      </c>
      <c r="N10" s="9">
        <v>17</v>
      </c>
    </row>
    <row r="11" spans="1:14" x14ac:dyDescent="0.25">
      <c r="A11" s="22" t="s">
        <v>8</v>
      </c>
      <c r="B11" s="8" t="s">
        <v>29</v>
      </c>
      <c r="C11" s="9">
        <v>18</v>
      </c>
      <c r="D11" s="10">
        <v>16.100000000000001</v>
      </c>
      <c r="E11" s="11">
        <v>14.202222222222224</v>
      </c>
      <c r="F11" s="9">
        <v>1</v>
      </c>
      <c r="G11" s="12">
        <v>0.22222222222222221</v>
      </c>
      <c r="H11" s="13">
        <v>1500</v>
      </c>
      <c r="I11" s="9">
        <v>0</v>
      </c>
      <c r="J11" s="9">
        <v>0</v>
      </c>
      <c r="K11" s="9">
        <v>0</v>
      </c>
      <c r="L11" s="12">
        <v>0</v>
      </c>
      <c r="M11" s="9">
        <v>1</v>
      </c>
      <c r="N11" s="9">
        <v>17</v>
      </c>
    </row>
    <row r="12" spans="1:14" x14ac:dyDescent="0.25">
      <c r="A12" s="22" t="s">
        <v>1</v>
      </c>
      <c r="B12" s="8" t="s">
        <v>30</v>
      </c>
      <c r="C12" s="9">
        <v>18</v>
      </c>
      <c r="D12" s="10">
        <v>15.900000000000002</v>
      </c>
      <c r="E12" s="11">
        <v>14.08611111111111</v>
      </c>
      <c r="F12" s="9">
        <v>8</v>
      </c>
      <c r="G12" s="12">
        <v>1.7777777777777777</v>
      </c>
      <c r="H12" s="13">
        <v>12000</v>
      </c>
      <c r="I12" s="9">
        <v>3</v>
      </c>
      <c r="J12" s="9">
        <v>3</v>
      </c>
      <c r="K12" s="9">
        <v>1</v>
      </c>
      <c r="L12" s="12">
        <v>0.16666666666666666</v>
      </c>
      <c r="M12" s="9">
        <v>1</v>
      </c>
      <c r="N12" s="9">
        <v>17</v>
      </c>
    </row>
    <row r="13" spans="1:14" x14ac:dyDescent="0.25">
      <c r="A13" s="22" t="s">
        <v>18</v>
      </c>
      <c r="B13" s="8" t="s">
        <v>31</v>
      </c>
      <c r="C13" s="9">
        <v>11</v>
      </c>
      <c r="D13" s="10">
        <v>10.6</v>
      </c>
      <c r="E13" s="11">
        <v>15.17181818181818</v>
      </c>
      <c r="F13" s="9">
        <v>2</v>
      </c>
      <c r="G13" s="12">
        <v>0.72727272727272729</v>
      </c>
      <c r="H13" s="13">
        <v>3000</v>
      </c>
      <c r="I13" s="9">
        <v>1</v>
      </c>
      <c r="J13" s="9">
        <v>1</v>
      </c>
      <c r="K13" s="9">
        <v>1</v>
      </c>
      <c r="L13" s="12">
        <v>9.0909090909090912E-2</v>
      </c>
      <c r="M13" s="9">
        <v>1</v>
      </c>
      <c r="N13" s="9">
        <v>10</v>
      </c>
    </row>
    <row r="14" spans="1:14" x14ac:dyDescent="0.25">
      <c r="A14" s="22" t="s">
        <v>12</v>
      </c>
      <c r="B14" s="8" t="s">
        <v>32</v>
      </c>
      <c r="C14" s="9">
        <v>20</v>
      </c>
      <c r="D14" s="10">
        <v>17.259999999999998</v>
      </c>
      <c r="E14" s="11">
        <v>14.349</v>
      </c>
      <c r="F14" s="9">
        <v>7</v>
      </c>
      <c r="G14" s="12">
        <v>1.4</v>
      </c>
      <c r="H14" s="13">
        <v>10500</v>
      </c>
      <c r="I14" s="9">
        <v>3</v>
      </c>
      <c r="J14" s="9">
        <v>4</v>
      </c>
      <c r="K14" s="9">
        <v>1</v>
      </c>
      <c r="L14" s="12">
        <v>0.2</v>
      </c>
      <c r="M14" s="9">
        <v>1</v>
      </c>
      <c r="N14" s="9">
        <v>19</v>
      </c>
    </row>
    <row r="15" spans="1:14" x14ac:dyDescent="0.25">
      <c r="A15" s="22" t="s">
        <v>13</v>
      </c>
      <c r="B15" s="8" t="s">
        <v>33</v>
      </c>
      <c r="C15" s="9">
        <v>6</v>
      </c>
      <c r="D15" s="10">
        <v>4.2299999999999995</v>
      </c>
      <c r="E15" s="11">
        <v>14.833333333333334</v>
      </c>
      <c r="F15" s="9">
        <v>2</v>
      </c>
      <c r="G15" s="12">
        <v>1.3333333333333333</v>
      </c>
      <c r="H15" s="13">
        <v>3000</v>
      </c>
      <c r="I15" s="9">
        <v>0</v>
      </c>
      <c r="J15" s="9">
        <v>1</v>
      </c>
      <c r="K15" s="9">
        <v>0</v>
      </c>
      <c r="L15" s="12">
        <v>0.16666666666666666</v>
      </c>
      <c r="M15" s="9">
        <v>1</v>
      </c>
      <c r="N15" s="9">
        <v>5</v>
      </c>
    </row>
    <row r="16" spans="1:14" x14ac:dyDescent="0.25">
      <c r="A16" s="22" t="s">
        <v>9</v>
      </c>
      <c r="B16" s="8" t="s">
        <v>34</v>
      </c>
      <c r="C16" s="9">
        <v>24</v>
      </c>
      <c r="D16" s="10">
        <v>23.2</v>
      </c>
      <c r="E16" s="11">
        <v>14.950416666666664</v>
      </c>
      <c r="F16" s="9">
        <v>5</v>
      </c>
      <c r="G16" s="12">
        <v>0.83333333333333337</v>
      </c>
      <c r="H16" s="13">
        <v>7500</v>
      </c>
      <c r="I16" s="9">
        <v>0</v>
      </c>
      <c r="J16" s="9">
        <v>1</v>
      </c>
      <c r="K16" s="9">
        <v>0</v>
      </c>
      <c r="L16" s="12">
        <v>4.1666666666666664E-2</v>
      </c>
      <c r="M16" s="9">
        <v>1</v>
      </c>
      <c r="N16" s="9">
        <v>23</v>
      </c>
    </row>
    <row r="17" spans="1:14" x14ac:dyDescent="0.25">
      <c r="A17" s="22" t="s">
        <v>59</v>
      </c>
      <c r="B17" s="8" t="s">
        <v>35</v>
      </c>
      <c r="C17" s="9">
        <v>3</v>
      </c>
      <c r="D17" s="10">
        <v>2.88</v>
      </c>
      <c r="E17" s="11">
        <v>17</v>
      </c>
      <c r="F17" s="9">
        <v>2</v>
      </c>
      <c r="G17" s="12">
        <v>2.6666666666666665</v>
      </c>
      <c r="H17" s="13">
        <v>3000</v>
      </c>
      <c r="I17" s="9">
        <v>0</v>
      </c>
      <c r="J17" s="9">
        <v>2</v>
      </c>
      <c r="K17" s="9">
        <v>0</v>
      </c>
      <c r="L17" s="12">
        <v>0.66666666666666663</v>
      </c>
      <c r="M17" s="9">
        <v>1</v>
      </c>
      <c r="N17" s="9">
        <v>2</v>
      </c>
    </row>
    <row r="18" spans="1:14" x14ac:dyDescent="0.25">
      <c r="A18" s="22" t="s">
        <v>0</v>
      </c>
      <c r="B18" s="8" t="s">
        <v>36</v>
      </c>
      <c r="C18" s="9">
        <v>6</v>
      </c>
      <c r="D18" s="10">
        <v>5.3</v>
      </c>
      <c r="E18" s="11">
        <v>15.403333333333334</v>
      </c>
      <c r="F18" s="9">
        <v>7</v>
      </c>
      <c r="G18" s="12">
        <v>4.666666666666667</v>
      </c>
      <c r="H18" s="13">
        <v>10500</v>
      </c>
      <c r="I18" s="9">
        <v>2</v>
      </c>
      <c r="J18" s="9">
        <v>0</v>
      </c>
      <c r="K18" s="9">
        <v>0</v>
      </c>
      <c r="L18" s="12">
        <v>0</v>
      </c>
      <c r="M18" s="9">
        <v>1</v>
      </c>
      <c r="N18" s="9">
        <v>5</v>
      </c>
    </row>
    <row r="19" spans="1:14" x14ac:dyDescent="0.25">
      <c r="A19" s="22" t="s">
        <v>17</v>
      </c>
      <c r="B19" s="8" t="s">
        <v>37</v>
      </c>
      <c r="C19" s="9">
        <v>16</v>
      </c>
      <c r="D19" s="10">
        <v>11.829999999999998</v>
      </c>
      <c r="E19" s="11">
        <v>14.547499999999999</v>
      </c>
      <c r="F19" s="9">
        <v>4</v>
      </c>
      <c r="G19" s="12">
        <v>1</v>
      </c>
      <c r="H19" s="13">
        <v>6000</v>
      </c>
      <c r="I19" s="9">
        <v>1</v>
      </c>
      <c r="J19" s="9">
        <v>1</v>
      </c>
      <c r="K19" s="9">
        <v>0</v>
      </c>
      <c r="L19" s="12">
        <v>6.25E-2</v>
      </c>
      <c r="M19" s="9">
        <v>1</v>
      </c>
      <c r="N19" s="9">
        <v>15</v>
      </c>
    </row>
    <row r="20" spans="1:14" x14ac:dyDescent="0.25">
      <c r="A20" s="22" t="s">
        <v>10</v>
      </c>
      <c r="B20" s="8" t="s">
        <v>38</v>
      </c>
      <c r="C20" s="9">
        <v>26</v>
      </c>
      <c r="D20" s="10">
        <v>17.660000000000004</v>
      </c>
      <c r="E20" s="11">
        <v>14.116923076923076</v>
      </c>
      <c r="F20" s="9">
        <v>3</v>
      </c>
      <c r="G20" s="12">
        <v>0.46153846153846156</v>
      </c>
      <c r="H20" s="13">
        <v>4500</v>
      </c>
      <c r="I20" s="9">
        <v>1</v>
      </c>
      <c r="J20" s="9">
        <v>0</v>
      </c>
      <c r="K20" s="9">
        <v>0</v>
      </c>
      <c r="L20" s="12">
        <v>0</v>
      </c>
      <c r="M20" s="9">
        <v>1</v>
      </c>
      <c r="N20" s="9">
        <v>25</v>
      </c>
    </row>
    <row r="21" spans="1:14" x14ac:dyDescent="0.25">
      <c r="A21" s="22" t="s">
        <v>4</v>
      </c>
      <c r="B21" s="8" t="s">
        <v>39</v>
      </c>
      <c r="C21" s="9">
        <v>18</v>
      </c>
      <c r="D21" s="10">
        <v>14.2</v>
      </c>
      <c r="E21" s="11">
        <v>14.021111111111111</v>
      </c>
      <c r="F21" s="9">
        <v>3</v>
      </c>
      <c r="G21" s="12">
        <v>0.66666666666666663</v>
      </c>
      <c r="H21" s="13">
        <v>4500</v>
      </c>
      <c r="I21" s="9">
        <v>1</v>
      </c>
      <c r="J21" s="9">
        <v>3</v>
      </c>
      <c r="K21" s="9">
        <v>1</v>
      </c>
      <c r="L21" s="12">
        <v>0.16666666666666666</v>
      </c>
      <c r="M21" s="9">
        <v>0</v>
      </c>
      <c r="N21" s="9">
        <v>18</v>
      </c>
    </row>
    <row r="22" spans="1:14" x14ac:dyDescent="0.25">
      <c r="A22" s="22" t="s">
        <v>5</v>
      </c>
      <c r="B22" s="8" t="s">
        <v>40</v>
      </c>
      <c r="C22" s="9">
        <v>24</v>
      </c>
      <c r="D22" s="10">
        <v>21.84</v>
      </c>
      <c r="E22" s="11">
        <v>14.146666666666667</v>
      </c>
      <c r="F22" s="9">
        <v>5</v>
      </c>
      <c r="G22" s="12">
        <v>0.83333333333333337</v>
      </c>
      <c r="H22" s="13">
        <v>7500</v>
      </c>
      <c r="I22" s="9">
        <v>2</v>
      </c>
      <c r="J22" s="9">
        <v>2</v>
      </c>
      <c r="K22" s="9">
        <v>1</v>
      </c>
      <c r="L22" s="12">
        <v>8.3333333333333329E-2</v>
      </c>
      <c r="M22" s="9">
        <v>1</v>
      </c>
      <c r="N22" s="9">
        <v>23</v>
      </c>
    </row>
    <row r="23" spans="1:14" x14ac:dyDescent="0.25">
      <c r="A23" s="22" t="s">
        <v>52</v>
      </c>
      <c r="B23" s="8" t="s">
        <v>53</v>
      </c>
      <c r="C23" s="9">
        <v>21</v>
      </c>
      <c r="D23" s="10">
        <v>18.599999999999998</v>
      </c>
      <c r="E23" s="11">
        <v>13.857142857142858</v>
      </c>
      <c r="F23" s="9">
        <v>9</v>
      </c>
      <c r="G23" s="12">
        <v>1.7142857142857142</v>
      </c>
      <c r="H23" s="13">
        <v>13500</v>
      </c>
      <c r="I23" s="9">
        <v>9</v>
      </c>
      <c r="J23" s="9">
        <v>2</v>
      </c>
      <c r="K23" s="9">
        <v>2</v>
      </c>
      <c r="L23" s="12">
        <v>9.5238095238095233E-2</v>
      </c>
      <c r="M23" s="9">
        <v>0</v>
      </c>
      <c r="N23" s="9">
        <v>21</v>
      </c>
    </row>
    <row r="24" spans="1:14" x14ac:dyDescent="0.25">
      <c r="A24" s="22" t="s">
        <v>54</v>
      </c>
      <c r="B24" s="14" t="s">
        <v>55</v>
      </c>
      <c r="C24" s="9">
        <v>31</v>
      </c>
      <c r="D24" s="10">
        <v>26.39</v>
      </c>
      <c r="E24" s="11">
        <v>13.980322580645161</v>
      </c>
      <c r="F24" s="9">
        <v>1</v>
      </c>
      <c r="G24" s="12">
        <v>0.12903225806451613</v>
      </c>
      <c r="H24" s="13">
        <v>1500</v>
      </c>
      <c r="I24" s="9">
        <v>1</v>
      </c>
      <c r="J24" s="9">
        <v>1</v>
      </c>
      <c r="K24" s="9">
        <v>1</v>
      </c>
      <c r="L24" s="12">
        <v>3.2258064516129031E-2</v>
      </c>
      <c r="M24" s="9">
        <v>1</v>
      </c>
      <c r="N24" s="9">
        <v>30</v>
      </c>
    </row>
    <row r="25" spans="1:14" x14ac:dyDescent="0.25">
      <c r="A25" s="22" t="s">
        <v>60</v>
      </c>
      <c r="B25" s="14" t="s">
        <v>61</v>
      </c>
      <c r="C25" s="9">
        <v>0</v>
      </c>
      <c r="D25" s="10">
        <v>0</v>
      </c>
      <c r="E25" s="11">
        <v>0</v>
      </c>
      <c r="F25" s="9">
        <v>0</v>
      </c>
      <c r="G25" s="12">
        <v>0</v>
      </c>
      <c r="H25" s="13">
        <v>0</v>
      </c>
      <c r="I25" s="9">
        <v>0</v>
      </c>
      <c r="J25" s="9">
        <v>0</v>
      </c>
      <c r="K25" s="9">
        <v>0</v>
      </c>
      <c r="L25" s="12">
        <v>0</v>
      </c>
      <c r="M25" s="9">
        <v>0</v>
      </c>
      <c r="N25" s="9">
        <v>0</v>
      </c>
    </row>
    <row r="26" spans="1:14" x14ac:dyDescent="0.25">
      <c r="A26" s="15" t="s">
        <v>41</v>
      </c>
      <c r="B26" s="8"/>
      <c r="C26" s="16">
        <f>SUBTOTAL(9,C2:C25)</f>
        <v>409</v>
      </c>
      <c r="D26" s="17">
        <f>SUBTOTAL(9,D2:D25)</f>
        <v>349.27</v>
      </c>
      <c r="E26" s="18">
        <f>SUMPRODUCT(C2:C25,E2:E25)/SUBTOTAL(9,C1:C25)</f>
        <v>14.451344743276282</v>
      </c>
      <c r="F26" s="16">
        <f>SUBTOTAL(9,F2:F25)</f>
        <v>106</v>
      </c>
      <c r="G26" s="19">
        <v>1.0366748166259168</v>
      </c>
      <c r="H26" s="20">
        <f>SUBTOTAL(9,H1:H25)</f>
        <v>159000</v>
      </c>
      <c r="I26" s="21">
        <f>SUBTOTAL(9,I2:I25)</f>
        <v>43</v>
      </c>
      <c r="J26" s="16">
        <f>SUBTOTAL(9,J2:J25)</f>
        <v>40</v>
      </c>
      <c r="K26" s="16">
        <f>SUBTOTAL(9,K2:K25)</f>
        <v>14</v>
      </c>
      <c r="L26" s="19">
        <f>IFERROR(J26/C26,0)</f>
        <v>9.7799511002444994E-2</v>
      </c>
      <c r="M26" s="16">
        <f>SUBTOTAL(9,M2:M25)</f>
        <v>21</v>
      </c>
      <c r="N26" s="16">
        <f>SUBTOTAL(9,N2:N25)</f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Turnover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90 Day Employee Turnover - Retention</dc:title>
  <dc:creator>ADP</dc:creator>
  <cp:lastModifiedBy>Michael Raulston</cp:lastModifiedBy>
  <dcterms:created xsi:type="dcterms:W3CDTF">2025-03-13T15:31:03Z</dcterms:created>
  <dcterms:modified xsi:type="dcterms:W3CDTF">2026-04-07T19:34:17Z</dcterms:modified>
</cp:coreProperties>
</file>