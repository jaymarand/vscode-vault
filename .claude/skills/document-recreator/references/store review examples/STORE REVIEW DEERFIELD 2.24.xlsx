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cincigoodwill-my.sharepoint.com/personal/jasoncole_cincigoodwill_org/Documents/Attachments/"/>
    </mc:Choice>
  </mc:AlternateContent>
  <xr:revisionPtr revIDLastSave="0" documentId="8_{3C305044-A17C-4327-8125-88491C9986F5}" xr6:coauthVersionLast="47" xr6:coauthVersionMax="47" xr10:uidLastSave="{00000000-0000-0000-0000-000000000000}"/>
  <bookViews>
    <workbookView xWindow="-110" yWindow="-110" windowWidth="25180" windowHeight="16140" xr2:uid="{FDFDB9D3-9731-4906-95BB-D332DBEB87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1" l="1"/>
  <c r="N27" i="1"/>
  <c r="N26" i="1"/>
  <c r="N25" i="1"/>
  <c r="N24" i="1"/>
  <c r="N23" i="1"/>
  <c r="N17" i="1"/>
  <c r="N16" i="1"/>
  <c r="N15" i="1"/>
</calcChain>
</file>

<file path=xl/sharedStrings.xml><?xml version="1.0" encoding="utf-8"?>
<sst xmlns="http://schemas.openxmlformats.org/spreadsheetml/2006/main" count="113" uniqueCount="90">
  <si>
    <t>STORE REVIEW</t>
  </si>
  <si>
    <t xml:space="preserve"> </t>
  </si>
  <si>
    <t>Evaluation Completed by: Jason Cole</t>
  </si>
  <si>
    <t xml:space="preserve">Store </t>
  </si>
  <si>
    <t>DEERFIELD</t>
  </si>
  <si>
    <t>Training</t>
  </si>
  <si>
    <t>General Metrics</t>
  </si>
  <si>
    <t xml:space="preserve">Date </t>
  </si>
  <si>
    <t>New Hires Met</t>
  </si>
  <si>
    <t>Number of Hrly Employees Had 5 min Conversation With</t>
  </si>
  <si>
    <t># Rolling Racks Checked</t>
  </si>
  <si>
    <t>Date Previous Evaluation</t>
  </si>
  <si>
    <t xml:space="preserve">Number of New Hires </t>
  </si>
  <si>
    <t>Verified Huddles                   Complete or Incomplete</t>
  </si>
  <si>
    <t xml:space="preserve">  0 days missing</t>
  </si>
  <si>
    <t># Rolling Rack Items Sent Back</t>
  </si>
  <si>
    <t>Hang Count Variance</t>
  </si>
  <si>
    <t xml:space="preserve">Pre-Visit Data
</t>
  </si>
  <si>
    <t>Ecommerce % +/- to Budget</t>
  </si>
  <si>
    <t>Tote Count Variance</t>
  </si>
  <si>
    <t>Rev % +/- to Budget</t>
  </si>
  <si>
    <t>Average Transaction +/- to LY</t>
  </si>
  <si>
    <t>Number of Ecommerce totes sent MTD</t>
  </si>
  <si>
    <t>Rev % +/- to LY</t>
  </si>
  <si>
    <t>Labor % to Budget</t>
  </si>
  <si>
    <t>Is Truck Loaded Correctly</t>
  </si>
  <si>
    <t>YES</t>
  </si>
  <si>
    <t># Totes Checked</t>
  </si>
  <si>
    <t>Donation Growth % to LY</t>
  </si>
  <si>
    <t>Annualized Employee Turnover</t>
  </si>
  <si>
    <t># Tote Items Sent Back</t>
  </si>
  <si>
    <t>30 Day Sell Through %</t>
  </si>
  <si>
    <t># of Open Positions</t>
  </si>
  <si>
    <r>
      <rPr>
        <b/>
        <sz val="11"/>
        <color rgb="FF000000"/>
        <rFont val="Aptos Narrow"/>
        <scheme val="minor"/>
      </rPr>
      <t xml:space="preserve">Merchandising                                       </t>
    </r>
    <r>
      <rPr>
        <b/>
        <sz val="11"/>
        <color rgb="FFFF0000"/>
        <rFont val="Aptos Narrow"/>
        <scheme val="minor"/>
      </rPr>
      <t>Enter Yes or No</t>
    </r>
  </si>
  <si>
    <t>Error Rate Check Racks</t>
  </si>
  <si>
    <t>Enter # (check a minimum of 4 racks)</t>
  </si>
  <si>
    <r>
      <rPr>
        <b/>
        <sz val="11"/>
        <color rgb="FF000000"/>
        <rFont val="Aptos Narrow"/>
        <scheme val="minor"/>
      </rPr>
      <t>Pull/Rotation Validation                                Enter</t>
    </r>
    <r>
      <rPr>
        <b/>
        <sz val="11"/>
        <color rgb="FFFF0000"/>
        <rFont val="Aptos Narrow"/>
        <scheme val="minor"/>
      </rPr>
      <t xml:space="preserve"> Yes or No</t>
    </r>
  </si>
  <si>
    <t>% Auto Calc</t>
  </si>
  <si>
    <t>Wares Shelves Full &amp; Presented Well</t>
  </si>
  <si>
    <t>No</t>
  </si>
  <si>
    <t>Total # of Items Checked</t>
  </si>
  <si>
    <t>Racks Full (70 - 80 items per 5 ft)</t>
  </si>
  <si>
    <t>No Mens</t>
  </si>
  <si>
    <t>Women's Rack</t>
  </si>
  <si>
    <t>NO</t>
  </si>
  <si>
    <t># Wrong Price</t>
  </si>
  <si>
    <t>Shoe Racks Full</t>
  </si>
  <si>
    <t>No Kids</t>
  </si>
  <si>
    <t>Men's Rack</t>
  </si>
  <si>
    <t># Defective</t>
  </si>
  <si>
    <t>End Caps Full &amp; Presented Well</t>
  </si>
  <si>
    <t>Kid's Rack</t>
  </si>
  <si>
    <t># Wrong Category/Size</t>
  </si>
  <si>
    <r>
      <rPr>
        <b/>
        <sz val="11"/>
        <color rgb="FF000000"/>
        <rFont val="Aptos Narrow"/>
        <scheme val="minor"/>
      </rPr>
      <t xml:space="preserve">Store Cleanliness                            </t>
    </r>
    <r>
      <rPr>
        <b/>
        <sz val="11"/>
        <color rgb="FFFF0000"/>
        <rFont val="Aptos Narrow"/>
        <scheme val="minor"/>
      </rPr>
      <t xml:space="preserve">      Enter Yes or No</t>
    </r>
  </si>
  <si>
    <t>Wares</t>
  </si>
  <si>
    <t xml:space="preserve"> Total Error Rate Rack</t>
  </si>
  <si>
    <t>Shoes</t>
  </si>
  <si>
    <t>Parking Lot</t>
  </si>
  <si>
    <t>Yes</t>
  </si>
  <si>
    <t>Books</t>
  </si>
  <si>
    <t>Error Rate Check Container Labels</t>
  </si>
  <si>
    <t>Enter # (all accessible visible containers)</t>
  </si>
  <si>
    <t>Donation Area</t>
  </si>
  <si>
    <t>E&amp;M</t>
  </si>
  <si>
    <t>Windows / Entry</t>
  </si>
  <si>
    <t>Total # Containers Checked</t>
  </si>
  <si>
    <t>Cash Wraps</t>
  </si>
  <si>
    <t>Not Labeled</t>
  </si>
  <si>
    <t>Floor / Racks</t>
  </si>
  <si>
    <t>No-Toys</t>
  </si>
  <si>
    <t>Labeled as Salvage but is Raw</t>
  </si>
  <si>
    <t>Wares / Shelves</t>
  </si>
  <si>
    <t>Labeled as Raw but is Salvage</t>
  </si>
  <si>
    <t>Fitting Rooms</t>
  </si>
  <si>
    <t>Labeled as Soft but is Hard</t>
  </si>
  <si>
    <t>Production Room</t>
  </si>
  <si>
    <t>Labeled as Hard but is Soft</t>
  </si>
  <si>
    <t>Offices</t>
  </si>
  <si>
    <t>Total Error Rate Container Labels</t>
  </si>
  <si>
    <t>General Store Comments</t>
  </si>
  <si>
    <t>Overall, the store continues to show positive improvement, with seasonal transitions and overall layout moving in the right direction. The sales floor is generally customer-ready, and progress is evident in presentation and organization. The next step is strengthening consistency in daily execution so standards remain steady week to week.
There are a few operational items that need attention to support continued growth. An emergency exit was blocked during review and must remain clear at all times. Some excess merchandise created minor floor clutter, and high-value items, including TVs in the donation driveway, should be processed more quickly to maximize sales opportunity and maintain safety.
Cleanliness can be elevated further, particularly with floor care and exterior sweeping. Restroom soap dispensers need to be standardized and fully operational. In Hardlines, improving organization and ensuring furniture is cleaned prior to display will enhance presentation. Inventory accuracy also presents an opportunity, with some sizing, categorization, and tagging errors identified.
With focused attention on keeping exits clear, improving product flow from donations, reinforcing accuracy standards, strengthening Hardlines presentation, and maintaining daily cleaning and recovery routines, the store is well positioned to build on its progress and sustain consistent performance.</t>
  </si>
  <si>
    <t>Three Most Important Priorities</t>
  </si>
  <si>
    <t>Opportunity</t>
  </si>
  <si>
    <t>Reduce the Softlines error rate from 8% to below 4% by 3/24/26 and maintain at or below this level.</t>
  </si>
  <si>
    <t>Action Plan            (Smart Goal)</t>
  </si>
  <si>
    <t>Responsible: Nataliia
Action Steps:
Conduct daily quality audits of newly produced racks before they reach the sales floor.
Complete weekly full rack audits to identify and correct sizing, tagging, and category errors.
Retrain team members on sizing standards, color rotation, and tagging accuracy.
Track errors by team member and provide coaching for repeated issues.</t>
  </si>
  <si>
    <t>Implement a daily 10–15 minute end-of-shift recovery immediately and complete a full Hardlines reset by 3/06/26</t>
  </si>
  <si>
    <t>Responsible: Nataliia and Michael
Action Steps:
Assign daily closing responsibility for Hardlines recovery and organization.
Remove excess product from the floor and maintain appropriate shopability standards.
Reset key categories (wares, small electrics, housewares) to standard layouts.
Conduct a daily leadership walkthrough to verify standards are maintained.</t>
  </si>
  <si>
    <t>Eliminate excess furniture and raw in the donation drive by 3/6/26</t>
  </si>
  <si>
    <t>Responsible: Michael
Action Steps:
Set a daily movement target for furniture and bulk items from the donation area.
Schedule designated times each day for clearing and staging product to the sales floor.
Monitor the area during opening and closing to prevent backlog from building.
Coordinate with production and sales floor teams to ensure timely processing and 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</si>
</sst>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9"/>
      <color theme="1"/>
      <name val="Aptos Narrow"/>
      <family val="2"/>
      <scheme val="minor"/>
    </font>
    <font>
      <sz val="9"/>
      <color theme="1"/>
      <name val="Aptos Narrow"/>
      <family val="2"/>
      <scheme val="minor"/>
    </font>
    <font>
      <b/>
      <sz val="11"/>
      <color rgb="FFFF0000"/>
      <name val="Aptos Narrow"/>
      <family val="2"/>
      <scheme val="minor"/>
    </font>
    <font>
      <b/>
      <sz val="11"/>
      <name val="Aptos Narrow"/>
      <family val="2"/>
      <scheme val="minor"/>
    </font>
    <font>
      <b/>
      <sz val="18"/>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000000"/>
      <name val="Aptos Narrow"/>
      <scheme val="minor"/>
    </font>
    <font>
      <b/>
      <sz val="11"/>
      <color rgb="FFFF0000"/>
      <name val="Aptos Narrow"/>
      <scheme val="minor"/>
    </font>
    <font>
      <b/>
      <sz val="11"/>
      <color theme="1"/>
      <name val="Aptos Narrow"/>
      <scheme val="minor"/>
    </font>
    <font>
      <b/>
      <sz val="10"/>
      <color theme="1"/>
      <name val="Aptos Narrow"/>
      <family val="2"/>
      <scheme val="minor"/>
    </font>
    <font>
      <b/>
      <sz val="9"/>
      <color rgb="FFFF0000"/>
      <name val="Aptos Narrow"/>
      <family val="2"/>
      <scheme val="minor"/>
    </font>
    <font>
      <b/>
      <sz val="14"/>
      <color theme="1"/>
      <name val="Aptos Display"/>
      <scheme val="major"/>
    </font>
    <font>
      <sz val="14"/>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9" fontId="1" fillId="0" borderId="0" applyFont="0" applyFill="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0" applyNumberFormat="0" applyBorder="0" applyAlignment="0" applyProtection="0"/>
  </cellStyleXfs>
  <cellXfs count="164">
    <xf numFmtId="0" fontId="0" fillId="0" borderId="0" xfId="0"/>
    <xf numFmtId="0" fontId="3" fillId="0" borderId="0" xfId="0" applyFont="1" applyAlignment="1">
      <alignment horizontal="center" vertical="center"/>
    </xf>
    <xf numFmtId="0" fontId="7" fillId="2" borderId="9" xfId="0" applyFont="1" applyFill="1" applyBorder="1" applyAlignment="1">
      <alignment horizontal="center" vertical="center" wrapText="1"/>
    </xf>
    <xf numFmtId="9" fontId="3" fillId="2" borderId="12" xfId="1" applyFont="1" applyFill="1" applyBorder="1" applyAlignment="1">
      <alignment horizontal="center" vertical="center"/>
    </xf>
    <xf numFmtId="0" fontId="3" fillId="0" borderId="0" xfId="0" applyFont="1" applyAlignment="1">
      <alignment horizontal="left" vertical="top"/>
    </xf>
    <xf numFmtId="0" fontId="4"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8" xfId="0"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9" fontId="7" fillId="2" borderId="9" xfId="1" applyFont="1" applyFill="1" applyBorder="1" applyAlignment="1">
      <alignment horizontal="center" vertical="center"/>
    </xf>
    <xf numFmtId="2" fontId="3" fillId="2" borderId="0" xfId="0" applyNumberFormat="1" applyFont="1" applyFill="1" applyAlignment="1">
      <alignment horizontal="center" vertical="center"/>
    </xf>
    <xf numFmtId="0" fontId="8" fillId="2" borderId="12" xfId="0" applyFont="1" applyFill="1" applyBorder="1" applyAlignment="1">
      <alignment horizontal="center" vertical="center"/>
    </xf>
    <xf numFmtId="0" fontId="7" fillId="2" borderId="12" xfId="0" applyFont="1" applyFill="1" applyBorder="1" applyAlignment="1">
      <alignment horizontal="center" vertical="center"/>
    </xf>
    <xf numFmtId="9" fontId="7" fillId="2" borderId="9" xfId="1" applyFont="1" applyFill="1" applyBorder="1" applyAlignment="1">
      <alignment horizontal="center" vertical="center" wrapText="1"/>
    </xf>
    <xf numFmtId="0" fontId="7" fillId="2" borderId="0" xfId="0" applyFont="1" applyFill="1" applyAlignment="1">
      <alignment horizontal="center" vertical="center" wrapText="1"/>
    </xf>
    <xf numFmtId="14" fontId="7" fillId="2" borderId="0" xfId="0" applyNumberFormat="1" applyFont="1" applyFill="1" applyAlignment="1">
      <alignment horizontal="center" vertical="center"/>
    </xf>
    <xf numFmtId="0" fontId="8" fillId="2" borderId="0" xfId="0" applyFont="1" applyFill="1" applyAlignment="1">
      <alignment horizontal="center" vertical="center"/>
    </xf>
    <xf numFmtId="9" fontId="13" fillId="2" borderId="9" xfId="3" applyNumberFormat="1" applyFill="1" applyBorder="1" applyAlignment="1">
      <alignment horizontal="center" vertical="center"/>
    </xf>
    <xf numFmtId="9" fontId="13" fillId="2" borderId="9" xfId="3" applyNumberFormat="1" applyFill="1" applyBorder="1" applyAlignment="1">
      <alignment horizontal="center" vertical="center" wrapText="1"/>
    </xf>
    <xf numFmtId="0" fontId="13" fillId="2" borderId="9" xfId="3" applyFill="1" applyBorder="1" applyAlignment="1">
      <alignment horizontal="center" vertical="center"/>
    </xf>
    <xf numFmtId="0" fontId="19" fillId="2" borderId="9" xfId="0" applyFont="1" applyFill="1" applyBorder="1" applyAlignment="1">
      <alignment horizontal="center" vertical="center"/>
    </xf>
    <xf numFmtId="0" fontId="7" fillId="2" borderId="1" xfId="0" applyFont="1" applyFill="1" applyBorder="1" applyAlignment="1">
      <alignment horizontal="center" vertical="center"/>
    </xf>
    <xf numFmtId="0" fontId="3" fillId="2" borderId="9" xfId="0" applyFont="1" applyFill="1" applyBorder="1" applyAlignment="1">
      <alignment horizontal="center" vertical="center"/>
    </xf>
    <xf numFmtId="164" fontId="3" fillId="2" borderId="9" xfId="1" applyNumberFormat="1" applyFont="1" applyFill="1" applyBorder="1" applyAlignment="1">
      <alignment horizontal="center" vertical="center"/>
    </xf>
    <xf numFmtId="9" fontId="10" fillId="2" borderId="9" xfId="1" applyFont="1" applyFill="1" applyBorder="1" applyAlignment="1">
      <alignment horizontal="center" vertical="center"/>
    </xf>
    <xf numFmtId="164" fontId="3" fillId="2" borderId="0" xfId="1" applyNumberFormat="1" applyFont="1" applyFill="1" applyBorder="1" applyAlignment="1">
      <alignment horizontal="center" vertical="center"/>
    </xf>
    <xf numFmtId="164" fontId="3" fillId="2" borderId="4" xfId="1" applyNumberFormat="1" applyFont="1" applyFill="1" applyBorder="1" applyAlignment="1">
      <alignment horizontal="center" vertical="center"/>
    </xf>
    <xf numFmtId="0" fontId="0" fillId="2" borderId="0" xfId="0" applyFill="1"/>
    <xf numFmtId="0" fontId="8" fillId="2" borderId="4" xfId="0" applyFont="1" applyFill="1" applyBorder="1" applyAlignment="1">
      <alignment horizontal="center" vertical="center"/>
    </xf>
    <xf numFmtId="0" fontId="0" fillId="2" borderId="0" xfId="0" applyFill="1" applyAlignment="1">
      <alignment horizontal="center"/>
    </xf>
    <xf numFmtId="0" fontId="3" fillId="2" borderId="0" xfId="0" applyFont="1" applyFill="1" applyAlignment="1">
      <alignment horizontal="left" vertical="top"/>
    </xf>
    <xf numFmtId="0" fontId="6" fillId="2" borderId="0" xfId="0" applyFont="1" applyFill="1" applyAlignment="1">
      <alignment horizontal="left" vertical="center"/>
    </xf>
    <xf numFmtId="0" fontId="5" fillId="2" borderId="1" xfId="0" applyFont="1" applyFill="1" applyBorder="1" applyAlignment="1">
      <alignment horizontal="center" vertical="center"/>
    </xf>
    <xf numFmtId="0" fontId="5" fillId="2" borderId="5" xfId="0" applyFont="1" applyFill="1" applyBorder="1" applyAlignment="1">
      <alignment horizontal="center" vertical="center"/>
    </xf>
    <xf numFmtId="0" fontId="6"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4" xfId="0" applyFill="1" applyBorder="1" applyAlignment="1">
      <alignment horizontal="center" vertical="center"/>
    </xf>
    <xf numFmtId="0" fontId="0" fillId="2" borderId="8" xfId="0" applyFill="1" applyBorder="1" applyAlignment="1">
      <alignment horizontal="center" vertical="center"/>
    </xf>
    <xf numFmtId="0" fontId="3"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14" fontId="9" fillId="2" borderId="10" xfId="0" applyNumberFormat="1" applyFont="1" applyFill="1" applyBorder="1" applyAlignment="1">
      <alignment horizontal="center" vertical="center"/>
    </xf>
    <xf numFmtId="14" fontId="9" fillId="2" borderId="11" xfId="0" applyNumberFormat="1" applyFont="1" applyFill="1" applyBorder="1" applyAlignment="1">
      <alignment horizontal="center" vertical="center"/>
    </xf>
    <xf numFmtId="14" fontId="9" fillId="2" borderId="1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14" fontId="7" fillId="2" borderId="10" xfId="0" applyNumberFormat="1"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2" xfId="0" applyFont="1" applyFill="1" applyBorder="1" applyAlignment="1">
      <alignment horizontal="center" vertical="center"/>
    </xf>
    <xf numFmtId="0" fontId="15" fillId="2" borderId="2" xfId="0" applyFont="1" applyFill="1" applyBorder="1" applyAlignment="1">
      <alignment horizontal="center" vertical="center" wrapText="1"/>
    </xf>
    <xf numFmtId="0" fontId="0" fillId="2" borderId="11" xfId="0" applyFill="1" applyBorder="1" applyAlignment="1">
      <alignment horizontal="center" vertical="center" wrapText="1"/>
    </xf>
    <xf numFmtId="0" fontId="7" fillId="2" borderId="10" xfId="0" applyFont="1" applyFill="1" applyBorder="1" applyAlignment="1">
      <alignment horizontal="center" vertical="center" wrapText="1"/>
    </xf>
    <xf numFmtId="0" fontId="8" fillId="2" borderId="12" xfId="0" applyFont="1" applyFill="1" applyBorder="1" applyAlignment="1">
      <alignment horizontal="center" vertical="center" wrapText="1"/>
    </xf>
    <xf numFmtId="9" fontId="12" fillId="2" borderId="10" xfId="2" applyNumberFormat="1" applyFill="1" applyBorder="1" applyAlignment="1">
      <alignment horizontal="center" vertical="center" wrapText="1"/>
    </xf>
    <xf numFmtId="9" fontId="12" fillId="2" borderId="12" xfId="2" applyNumberFormat="1" applyFill="1" applyBorder="1" applyAlignment="1">
      <alignment horizontal="center" vertical="center" wrapText="1"/>
    </xf>
    <xf numFmtId="0" fontId="0" fillId="2" borderId="12" xfId="0" applyFill="1" applyBorder="1" applyAlignment="1">
      <alignment horizontal="center" vertical="center" wrapText="1"/>
    </xf>
    <xf numFmtId="4" fontId="12" fillId="2" borderId="10" xfId="2" applyNumberFormat="1" applyFill="1" applyBorder="1" applyAlignment="1">
      <alignment horizontal="center" vertical="center" wrapText="1"/>
    </xf>
    <xf numFmtId="4" fontId="12" fillId="2" borderId="12" xfId="2" applyNumberFormat="1" applyFill="1" applyBorder="1" applyAlignment="1">
      <alignment horizontal="center" vertical="center" wrapText="1"/>
    </xf>
    <xf numFmtId="9" fontId="13" fillId="2" borderId="10" xfId="3" applyNumberFormat="1" applyFill="1" applyBorder="1" applyAlignment="1">
      <alignment horizontal="center" vertical="center" wrapText="1"/>
    </xf>
    <xf numFmtId="9" fontId="13" fillId="2" borderId="12" xfId="3" applyNumberFormat="1" applyFill="1" applyBorder="1" applyAlignment="1">
      <alignment horizontal="center" vertical="center" wrapText="1"/>
    </xf>
    <xf numFmtId="10" fontId="13" fillId="2" borderId="10" xfId="3" applyNumberFormat="1" applyFill="1" applyBorder="1" applyAlignment="1">
      <alignment horizontal="center" vertical="center" wrapText="1"/>
    </xf>
    <xf numFmtId="10" fontId="13" fillId="2" borderId="12" xfId="3" applyNumberFormat="1" applyFill="1" applyBorder="1" applyAlignment="1">
      <alignment horizontal="center" vertical="center" wrapText="1"/>
    </xf>
    <xf numFmtId="9" fontId="13" fillId="2" borderId="10" xfId="3" applyNumberFormat="1" applyFill="1" applyBorder="1" applyAlignment="1">
      <alignment horizontal="center" vertical="center"/>
    </xf>
    <xf numFmtId="9" fontId="13" fillId="2" borderId="12" xfId="3" applyNumberFormat="1" applyFill="1" applyBorder="1" applyAlignment="1">
      <alignment horizontal="center" vertical="center"/>
    </xf>
    <xf numFmtId="9" fontId="14" fillId="2" borderId="10" xfId="4" applyNumberFormat="1" applyFill="1" applyBorder="1" applyAlignment="1">
      <alignment horizontal="center" vertical="center"/>
    </xf>
    <xf numFmtId="9" fontId="14" fillId="2" borderId="12" xfId="4" applyNumberFormat="1" applyFill="1" applyBorder="1" applyAlignment="1">
      <alignment horizontal="center" vertical="center"/>
    </xf>
    <xf numFmtId="0" fontId="9"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13" xfId="0" applyFill="1" applyBorder="1" applyAlignment="1">
      <alignment horizontal="center" wrapText="1"/>
    </xf>
    <xf numFmtId="0" fontId="0" fillId="2" borderId="0" xfId="0" applyFill="1" applyAlignment="1">
      <alignment horizontal="center" wrapText="1"/>
    </xf>
    <xf numFmtId="0" fontId="0" fillId="2" borderId="14" xfId="0" applyFill="1" applyBorder="1" applyAlignment="1">
      <alignment horizontal="center" wrapText="1"/>
    </xf>
    <xf numFmtId="0" fontId="9" fillId="2" borderId="3"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0" fillId="2" borderId="12" xfId="0" applyFill="1" applyBorder="1" applyAlignment="1">
      <alignment horizontal="center" vertical="center"/>
    </xf>
    <xf numFmtId="0" fontId="0" fillId="2" borderId="11"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3" xfId="0" applyFill="1" applyBorder="1" applyAlignment="1">
      <alignment wrapText="1"/>
    </xf>
    <xf numFmtId="0" fontId="0" fillId="2" borderId="4" xfId="0" applyFill="1" applyBorder="1" applyAlignment="1">
      <alignment wrapText="1"/>
    </xf>
    <xf numFmtId="0" fontId="0" fillId="2" borderId="6"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3" fillId="2" borderId="10" xfId="0" applyFont="1" applyFill="1" applyBorder="1" applyAlignment="1">
      <alignment horizontal="center" vertical="top"/>
    </xf>
    <xf numFmtId="0" fontId="0" fillId="2" borderId="12" xfId="0" applyFill="1" applyBorder="1" applyAlignment="1">
      <alignment horizontal="center" vertical="top"/>
    </xf>
    <xf numFmtId="0" fontId="7" fillId="2" borderId="1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13" xfId="0"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3" fillId="2" borderId="0" xfId="0" applyFont="1" applyFill="1" applyAlignment="1">
      <alignment horizontal="center"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9" xfId="0" applyFill="1" applyBorder="1" applyAlignment="1">
      <alignment horizontal="center" vertical="center"/>
    </xf>
    <xf numFmtId="0" fontId="18" fillId="2" borderId="0" xfId="0" applyFont="1" applyFill="1" applyAlignment="1">
      <alignment horizontal="center" vertical="center"/>
    </xf>
    <xf numFmtId="0" fontId="8" fillId="2" borderId="9" xfId="0" applyFont="1" applyFill="1" applyBorder="1" applyAlignment="1">
      <alignment horizontal="center" vertical="center"/>
    </xf>
    <xf numFmtId="0" fontId="0" fillId="2" borderId="3" xfId="0" applyFont="1" applyFill="1" applyBorder="1" applyAlignment="1">
      <alignment horizontal="left" vertical="top" wrapText="1"/>
    </xf>
    <xf numFmtId="0" fontId="0" fillId="2" borderId="4" xfId="0" applyFont="1" applyFill="1" applyBorder="1" applyAlignment="1">
      <alignment horizontal="left" vertical="top" wrapText="1"/>
    </xf>
    <xf numFmtId="0" fontId="0" fillId="2" borderId="13" xfId="0" applyFont="1" applyFill="1" applyBorder="1" applyAlignment="1">
      <alignment horizontal="left" vertical="top" wrapText="1"/>
    </xf>
    <xf numFmtId="0" fontId="0" fillId="2" borderId="0" xfId="0" applyFont="1" applyFill="1" applyAlignment="1">
      <alignment horizontal="left" vertical="top" wrapText="1"/>
    </xf>
    <xf numFmtId="0" fontId="0" fillId="2" borderId="14" xfId="0" applyFont="1" applyFill="1" applyBorder="1" applyAlignment="1">
      <alignment horizontal="left" vertical="top" wrapText="1"/>
    </xf>
    <xf numFmtId="0" fontId="0" fillId="2" borderId="6" xfId="0" applyFont="1" applyFill="1" applyBorder="1" applyAlignment="1">
      <alignment horizontal="left" vertical="top" wrapText="1"/>
    </xf>
    <xf numFmtId="0" fontId="0" fillId="2" borderId="7" xfId="0" applyFont="1" applyFill="1" applyBorder="1" applyAlignment="1">
      <alignment horizontal="left" vertical="top" wrapText="1"/>
    </xf>
    <xf numFmtId="0" fontId="0" fillId="2" borderId="8" xfId="0" applyFont="1" applyFill="1" applyBorder="1" applyAlignment="1">
      <alignment horizontal="left" vertical="top" wrapText="1"/>
    </xf>
    <xf numFmtId="0" fontId="20" fillId="2" borderId="2" xfId="0" applyFont="1" applyFill="1" applyBorder="1" applyAlignment="1">
      <alignment horizontal="left" vertical="top" wrapText="1"/>
    </xf>
    <xf numFmtId="0" fontId="20" fillId="2" borderId="3" xfId="0" applyFont="1" applyFill="1" applyBorder="1" applyAlignment="1">
      <alignment horizontal="left" vertical="top" wrapText="1"/>
    </xf>
    <xf numFmtId="0" fontId="20" fillId="2" borderId="4" xfId="0" applyFont="1" applyFill="1" applyBorder="1" applyAlignment="1">
      <alignment horizontal="left" vertical="top" wrapText="1"/>
    </xf>
    <xf numFmtId="0" fontId="20" fillId="2" borderId="6" xfId="0" applyFont="1" applyFill="1" applyBorder="1" applyAlignment="1">
      <alignment horizontal="left" vertical="top" wrapText="1"/>
    </xf>
    <xf numFmtId="0" fontId="20" fillId="2" borderId="7" xfId="0" applyFont="1" applyFill="1" applyBorder="1" applyAlignment="1">
      <alignment horizontal="left" vertical="top" wrapText="1"/>
    </xf>
    <xf numFmtId="0" fontId="20" fillId="2" borderId="8" xfId="0" applyFont="1" applyFill="1" applyBorder="1" applyAlignment="1">
      <alignment horizontal="left" vertical="top" wrapText="1"/>
    </xf>
    <xf numFmtId="0" fontId="6" fillId="2" borderId="2" xfId="0" applyFont="1" applyFill="1" applyBorder="1" applyAlignment="1">
      <alignment horizontal="left" vertical="top" wrapText="1"/>
    </xf>
    <xf numFmtId="0" fontId="21" fillId="2" borderId="3" xfId="0" applyFont="1" applyFill="1" applyBorder="1" applyAlignment="1">
      <alignment horizontal="left" vertical="top" wrapText="1"/>
    </xf>
    <xf numFmtId="0" fontId="21" fillId="2" borderId="4" xfId="0" applyFont="1" applyFill="1" applyBorder="1" applyAlignment="1">
      <alignment horizontal="left" vertical="top" wrapText="1"/>
    </xf>
    <xf numFmtId="0" fontId="21" fillId="2" borderId="6"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8"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8"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8"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14" xfId="0" applyFont="1" applyFill="1" applyBorder="1" applyAlignment="1">
      <alignment horizontal="left" vertical="top" wrapText="1"/>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2" defaultPivotStyle="PivotStyleLight16"/>
  <colors>
    <mruColors>
      <color rgb="FFF5F5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737-97CF-46AF-823B-BC526D273241}">
  <dimension ref="A1:T68"/>
  <sheetViews>
    <sheetView tabSelected="1" topLeftCell="A18" workbookViewId="0">
      <selection activeCell="S26" sqref="S26"/>
    </sheetView>
  </sheetViews>
  <sheetFormatPr defaultColWidth="9.140625" defaultRowHeight="14.45"/>
  <cols>
    <col min="1" max="1" width="12" style="1" customWidth="1"/>
    <col min="2" max="3" width="9.140625" style="1"/>
    <col min="4" max="4" width="20" style="1" customWidth="1"/>
    <col min="5" max="5" width="4.5703125" style="1" customWidth="1"/>
    <col min="6" max="6" width="10.42578125" style="1" customWidth="1"/>
    <col min="7" max="7" width="10" style="1" customWidth="1"/>
    <col min="8" max="8" width="9.140625" style="1"/>
    <col min="9" max="9" width="8.42578125" style="1" customWidth="1"/>
    <col min="10" max="10" width="4.5703125" style="1" customWidth="1"/>
    <col min="11" max="11" width="23" style="1" customWidth="1"/>
    <col min="12" max="12" width="18.85546875" style="1" customWidth="1"/>
    <col min="13" max="13" width="25.140625" style="1" customWidth="1"/>
    <col min="14" max="14" width="18.42578125" style="1" customWidth="1"/>
    <col min="15" max="15" width="17.140625" style="1" customWidth="1"/>
    <col min="16" max="16" width="9.140625" style="1"/>
    <col min="17" max="17" width="9.42578125" style="1" customWidth="1"/>
    <col min="18" max="18" width="10" style="1" customWidth="1"/>
    <col min="19" max="19" width="10.42578125" style="1" customWidth="1"/>
    <col min="20" max="20" width="12" style="1" customWidth="1"/>
    <col min="21" max="16384" width="9.140625" style="1"/>
  </cols>
  <sheetData>
    <row r="1" spans="1:15" ht="28.5" customHeight="1" thickBot="1">
      <c r="A1" s="5" t="s">
        <v>0</v>
      </c>
      <c r="B1" s="6"/>
      <c r="C1" s="6"/>
      <c r="D1" s="6"/>
      <c r="E1" s="6" t="s">
        <v>1</v>
      </c>
      <c r="F1" s="7" t="s">
        <v>1</v>
      </c>
      <c r="G1" s="6" t="s">
        <v>1</v>
      </c>
      <c r="H1" s="6"/>
      <c r="I1" s="6"/>
      <c r="J1" s="6"/>
      <c r="K1" s="121" t="s">
        <v>2</v>
      </c>
      <c r="L1" s="122"/>
      <c r="M1" s="122"/>
      <c r="N1" s="123"/>
      <c r="O1" s="6"/>
    </row>
    <row r="2" spans="1:15" ht="21.75" customHeight="1">
      <c r="A2" s="36" t="s">
        <v>3</v>
      </c>
      <c r="B2" s="38" t="s">
        <v>4</v>
      </c>
      <c r="C2" s="39"/>
      <c r="D2" s="40"/>
      <c r="E2" s="6"/>
      <c r="F2" s="44" t="s">
        <v>5</v>
      </c>
      <c r="G2" s="39"/>
      <c r="H2" s="39"/>
      <c r="I2" s="45"/>
      <c r="J2" s="6"/>
      <c r="K2" s="47" t="s">
        <v>6</v>
      </c>
      <c r="L2" s="48"/>
      <c r="M2" s="48"/>
      <c r="N2" s="49"/>
      <c r="O2" s="9"/>
    </row>
    <row r="3" spans="1:15" ht="23.25" customHeight="1" thickBot="1">
      <c r="A3" s="37"/>
      <c r="B3" s="41"/>
      <c r="C3" s="42"/>
      <c r="D3" s="43"/>
      <c r="E3" s="6"/>
      <c r="F3" s="41"/>
      <c r="G3" s="42"/>
      <c r="H3" s="42"/>
      <c r="I3" s="46"/>
      <c r="J3" s="6"/>
      <c r="K3" s="50"/>
      <c r="L3" s="51"/>
      <c r="M3" s="51"/>
      <c r="N3" s="52"/>
      <c r="O3" s="11"/>
    </row>
    <row r="4" spans="1:15" ht="24" customHeight="1" thickBot="1">
      <c r="A4" s="12" t="s">
        <v>7</v>
      </c>
      <c r="B4" s="53">
        <v>46077</v>
      </c>
      <c r="C4" s="54"/>
      <c r="D4" s="55"/>
      <c r="E4" s="6"/>
      <c r="F4" s="56" t="s">
        <v>8</v>
      </c>
      <c r="G4" s="57"/>
      <c r="H4" s="108">
        <v>3</v>
      </c>
      <c r="I4" s="90"/>
      <c r="J4" s="6"/>
      <c r="K4" s="2" t="s">
        <v>9</v>
      </c>
      <c r="L4" s="12">
        <v>5</v>
      </c>
      <c r="M4" s="13" t="s">
        <v>10</v>
      </c>
      <c r="N4" s="128">
        <v>1</v>
      </c>
      <c r="O4" s="14"/>
    </row>
    <row r="5" spans="1:15" ht="25.5" customHeight="1" thickBot="1">
      <c r="A5" s="2" t="s">
        <v>11</v>
      </c>
      <c r="B5" s="58">
        <v>46065</v>
      </c>
      <c r="C5" s="59"/>
      <c r="D5" s="60"/>
      <c r="E5" s="6"/>
      <c r="F5" s="61" t="s">
        <v>12</v>
      </c>
      <c r="G5" s="62"/>
      <c r="H5" s="108">
        <v>3</v>
      </c>
      <c r="I5" s="90"/>
      <c r="J5" s="6"/>
      <c r="K5" s="17" t="s">
        <v>13</v>
      </c>
      <c r="L5" s="129" t="s">
        <v>14</v>
      </c>
      <c r="M5" s="12" t="s">
        <v>15</v>
      </c>
      <c r="N5" s="12">
        <v>0</v>
      </c>
      <c r="O5" s="6"/>
    </row>
    <row r="6" spans="1:15" ht="25.5" customHeight="1" thickBot="1">
      <c r="A6" s="18"/>
      <c r="B6" s="19"/>
      <c r="C6" s="20"/>
      <c r="D6" s="20"/>
      <c r="E6" s="6"/>
      <c r="F6" s="11"/>
      <c r="G6" s="11"/>
      <c r="H6" s="6"/>
      <c r="I6" s="9"/>
      <c r="J6" s="6"/>
      <c r="K6" s="13"/>
      <c r="L6" s="12"/>
      <c r="M6" s="13" t="s">
        <v>16</v>
      </c>
      <c r="N6" s="21">
        <v>0.14000000000000001</v>
      </c>
      <c r="O6" s="6"/>
    </row>
    <row r="7" spans="1:15" ht="48" customHeight="1" thickBot="1">
      <c r="A7" s="63" t="s">
        <v>17</v>
      </c>
      <c r="B7" s="48"/>
      <c r="C7" s="48"/>
      <c r="D7" s="48"/>
      <c r="E7" s="64"/>
      <c r="F7" s="48"/>
      <c r="G7" s="48"/>
      <c r="H7" s="48"/>
      <c r="I7" s="49"/>
      <c r="J7" s="6"/>
      <c r="K7" s="17" t="s">
        <v>18</v>
      </c>
      <c r="L7" s="22">
        <v>0.56000000000000005</v>
      </c>
      <c r="M7" s="13" t="s">
        <v>19</v>
      </c>
      <c r="N7" s="21">
        <v>-0.02</v>
      </c>
      <c r="O7" s="6"/>
    </row>
    <row r="8" spans="1:15" ht="25.5" customHeight="1" thickBot="1">
      <c r="A8" s="65" t="s">
        <v>20</v>
      </c>
      <c r="B8" s="66"/>
      <c r="C8" s="67">
        <v>0.1</v>
      </c>
      <c r="D8" s="68"/>
      <c r="E8" s="6"/>
      <c r="F8" s="65" t="s">
        <v>21</v>
      </c>
      <c r="G8" s="69"/>
      <c r="H8" s="70">
        <v>3</v>
      </c>
      <c r="I8" s="71"/>
      <c r="J8" s="6"/>
      <c r="K8" s="2" t="s">
        <v>22</v>
      </c>
      <c r="L8" s="23">
        <v>89</v>
      </c>
      <c r="M8" s="12"/>
      <c r="N8" s="12"/>
      <c r="O8" s="6"/>
    </row>
    <row r="9" spans="1:15" ht="25.5" customHeight="1" thickBot="1">
      <c r="A9" s="65" t="s">
        <v>23</v>
      </c>
      <c r="B9" s="66"/>
      <c r="C9" s="72">
        <v>0.14899999999999999</v>
      </c>
      <c r="D9" s="73"/>
      <c r="E9" s="6"/>
      <c r="F9" s="65" t="s">
        <v>24</v>
      </c>
      <c r="G9" s="69"/>
      <c r="H9" s="74">
        <v>0.24</v>
      </c>
      <c r="I9" s="75"/>
      <c r="J9" s="6"/>
      <c r="K9" s="2" t="s">
        <v>25</v>
      </c>
      <c r="L9" s="24" t="s">
        <v>26</v>
      </c>
      <c r="M9" s="13" t="s">
        <v>27</v>
      </c>
      <c r="N9" s="12">
        <v>12</v>
      </c>
      <c r="O9" s="6"/>
    </row>
    <row r="10" spans="1:15" ht="25.5" customHeight="1" thickBot="1">
      <c r="A10" s="65" t="s">
        <v>28</v>
      </c>
      <c r="B10" s="69"/>
      <c r="C10" s="76">
        <v>1.49</v>
      </c>
      <c r="D10" s="77"/>
      <c r="E10" s="6"/>
      <c r="F10" s="65" t="s">
        <v>29</v>
      </c>
      <c r="G10" s="69"/>
      <c r="H10" s="72">
        <v>0.52200000000000002</v>
      </c>
      <c r="I10" s="73"/>
      <c r="J10" s="6"/>
      <c r="K10" s="12"/>
      <c r="L10" s="2"/>
      <c r="M10" s="12" t="s">
        <v>30</v>
      </c>
      <c r="N10" s="12">
        <v>0</v>
      </c>
      <c r="O10" s="6"/>
    </row>
    <row r="11" spans="1:15" ht="25.5" customHeight="1" thickBot="1">
      <c r="A11" s="65" t="s">
        <v>31</v>
      </c>
      <c r="B11" s="69"/>
      <c r="C11" s="78">
        <v>0.36799999999999999</v>
      </c>
      <c r="D11" s="79"/>
      <c r="E11" s="6"/>
      <c r="F11" s="65" t="s">
        <v>32</v>
      </c>
      <c r="G11" s="69"/>
      <c r="H11" s="80">
        <v>4</v>
      </c>
      <c r="I11" s="81"/>
      <c r="J11" s="6"/>
      <c r="K11" s="25"/>
      <c r="L11" s="25"/>
      <c r="M11" s="25"/>
      <c r="N11" s="25"/>
      <c r="O11" s="6"/>
    </row>
    <row r="12" spans="1:15" ht="23.25" customHeight="1" thickBot="1">
      <c r="A12" s="82" t="s">
        <v>33</v>
      </c>
      <c r="B12" s="83"/>
      <c r="C12" s="83"/>
      <c r="D12" s="84"/>
      <c r="E12" s="6"/>
      <c r="F12" s="6"/>
      <c r="G12" s="6"/>
      <c r="H12" s="6"/>
      <c r="I12" s="6"/>
      <c r="J12" s="6"/>
      <c r="K12" s="44" t="s">
        <v>34</v>
      </c>
      <c r="L12" s="92"/>
      <c r="M12" s="88" t="s">
        <v>35</v>
      </c>
      <c r="N12" s="8"/>
      <c r="O12" s="6"/>
    </row>
    <row r="13" spans="1:15" ht="24" customHeight="1" thickBot="1">
      <c r="A13" s="85"/>
      <c r="B13" s="86"/>
      <c r="C13" s="86"/>
      <c r="D13" s="87"/>
      <c r="E13" s="6"/>
      <c r="F13" s="82" t="s">
        <v>36</v>
      </c>
      <c r="G13" s="48"/>
      <c r="H13" s="48"/>
      <c r="I13" s="49"/>
      <c r="J13" s="6"/>
      <c r="K13" s="93"/>
      <c r="L13" s="94"/>
      <c r="M13" s="89"/>
      <c r="N13" s="10" t="s">
        <v>37</v>
      </c>
      <c r="O13" s="9" t="s">
        <v>1</v>
      </c>
    </row>
    <row r="14" spans="1:15" ht="25.5" customHeight="1" thickBot="1">
      <c r="A14" s="61" t="s">
        <v>38</v>
      </c>
      <c r="B14" s="59"/>
      <c r="C14" s="60"/>
      <c r="D14" s="26" t="s">
        <v>39</v>
      </c>
      <c r="E14" s="6"/>
      <c r="F14" s="50"/>
      <c r="G14" s="51"/>
      <c r="H14" s="51"/>
      <c r="I14" s="52"/>
      <c r="J14" s="6"/>
      <c r="K14" s="61" t="s">
        <v>40</v>
      </c>
      <c r="L14" s="90"/>
      <c r="M14" s="15">
        <v>200</v>
      </c>
      <c r="N14" s="26"/>
      <c r="O14" s="11"/>
    </row>
    <row r="15" spans="1:15" ht="24.75" customHeight="1" thickBot="1">
      <c r="A15" s="61" t="s">
        <v>41</v>
      </c>
      <c r="B15" s="59"/>
      <c r="C15" s="60"/>
      <c r="D15" s="26" t="s">
        <v>42</v>
      </c>
      <c r="E15" s="6"/>
      <c r="F15" s="61" t="s">
        <v>43</v>
      </c>
      <c r="G15" s="91"/>
      <c r="H15" s="90"/>
      <c r="I15" s="26" t="s">
        <v>44</v>
      </c>
      <c r="J15" s="6"/>
      <c r="K15" s="61" t="s">
        <v>45</v>
      </c>
      <c r="L15" s="90"/>
      <c r="M15" s="16">
        <v>22</v>
      </c>
      <c r="N15" s="27">
        <f>M15/M14</f>
        <v>0.11</v>
      </c>
      <c r="O15" s="14"/>
    </row>
    <row r="16" spans="1:15" ht="20.25" customHeight="1" thickBot="1">
      <c r="A16" s="61" t="s">
        <v>46</v>
      </c>
      <c r="B16" s="59"/>
      <c r="C16" s="60"/>
      <c r="D16" s="26" t="s">
        <v>47</v>
      </c>
      <c r="E16" s="6"/>
      <c r="F16" s="61" t="s">
        <v>48</v>
      </c>
      <c r="G16" s="91"/>
      <c r="H16" s="90"/>
      <c r="I16" s="26" t="s">
        <v>26</v>
      </c>
      <c r="J16" s="6"/>
      <c r="K16" s="61" t="s">
        <v>49</v>
      </c>
      <c r="L16" s="90"/>
      <c r="M16" s="16">
        <v>2</v>
      </c>
      <c r="N16" s="27">
        <f>M16/M14</f>
        <v>0.01</v>
      </c>
      <c r="O16" s="6"/>
    </row>
    <row r="17" spans="1:16" ht="19.5" customHeight="1" thickBot="1">
      <c r="A17" s="61" t="s">
        <v>50</v>
      </c>
      <c r="B17" s="59"/>
      <c r="C17" s="60"/>
      <c r="D17" s="26" t="s">
        <v>26</v>
      </c>
      <c r="E17" s="6"/>
      <c r="F17" s="61" t="s">
        <v>51</v>
      </c>
      <c r="G17" s="91"/>
      <c r="H17" s="90"/>
      <c r="I17" s="26" t="s">
        <v>44</v>
      </c>
      <c r="J17" s="6"/>
      <c r="K17" s="61" t="s">
        <v>52</v>
      </c>
      <c r="L17" s="90"/>
      <c r="M17" s="16">
        <v>0</v>
      </c>
      <c r="N17" s="27">
        <f>M17/M14</f>
        <v>0</v>
      </c>
      <c r="O17" s="6"/>
    </row>
    <row r="18" spans="1:16" ht="21" customHeight="1" thickBot="1">
      <c r="A18" s="82" t="s">
        <v>53</v>
      </c>
      <c r="B18" s="95"/>
      <c r="C18" s="95"/>
      <c r="D18" s="96"/>
      <c r="E18" s="6"/>
      <c r="F18" s="61" t="s">
        <v>54</v>
      </c>
      <c r="G18" s="91"/>
      <c r="H18" s="90"/>
      <c r="I18" s="26" t="s">
        <v>26</v>
      </c>
      <c r="J18" s="6"/>
      <c r="K18" s="61" t="s">
        <v>55</v>
      </c>
      <c r="L18" s="90"/>
      <c r="M18" s="16"/>
      <c r="N18" s="28">
        <v>0.08</v>
      </c>
      <c r="O18" s="6"/>
    </row>
    <row r="19" spans="1:16" ht="15" thickBot="1">
      <c r="A19" s="97"/>
      <c r="B19" s="98"/>
      <c r="C19" s="98"/>
      <c r="D19" s="99"/>
      <c r="E19" s="6"/>
      <c r="F19" s="61" t="s">
        <v>56</v>
      </c>
      <c r="G19" s="91"/>
      <c r="H19" s="90"/>
      <c r="I19" s="127" t="s">
        <v>26</v>
      </c>
      <c r="J19" s="6"/>
      <c r="K19" s="11"/>
      <c r="L19" s="6"/>
      <c r="M19" s="11"/>
      <c r="N19" s="29"/>
      <c r="O19" s="6"/>
    </row>
    <row r="20" spans="1:16" ht="26.25" customHeight="1" thickBot="1">
      <c r="A20" s="100" t="s">
        <v>57</v>
      </c>
      <c r="B20" s="101"/>
      <c r="C20" s="100" t="s">
        <v>58</v>
      </c>
      <c r="D20" s="101"/>
      <c r="E20" s="6"/>
      <c r="F20" s="61" t="s">
        <v>59</v>
      </c>
      <c r="G20" s="102"/>
      <c r="H20" s="62"/>
      <c r="I20" s="26" t="s">
        <v>26</v>
      </c>
      <c r="J20" s="6"/>
      <c r="K20" s="47" t="s">
        <v>60</v>
      </c>
      <c r="L20" s="103"/>
      <c r="M20" s="88" t="s">
        <v>61</v>
      </c>
      <c r="N20" s="30"/>
      <c r="O20" s="6"/>
    </row>
    <row r="21" spans="1:16" ht="20.25" customHeight="1">
      <c r="A21" s="100" t="s">
        <v>62</v>
      </c>
      <c r="B21" s="101"/>
      <c r="C21" s="100" t="s">
        <v>44</v>
      </c>
      <c r="D21" s="101"/>
      <c r="E21" s="6"/>
      <c r="F21" s="61" t="s">
        <v>63</v>
      </c>
      <c r="G21" s="102"/>
      <c r="H21" s="62"/>
      <c r="I21" s="26" t="s">
        <v>44</v>
      </c>
      <c r="J21" s="6"/>
      <c r="K21" s="104"/>
      <c r="L21" s="105"/>
      <c r="M21" s="89"/>
      <c r="N21" s="10" t="s">
        <v>37</v>
      </c>
      <c r="O21" s="6"/>
    </row>
    <row r="22" spans="1:16" ht="19.5" customHeight="1" thickBot="1">
      <c r="A22" s="100" t="s">
        <v>64</v>
      </c>
      <c r="B22" s="101"/>
      <c r="C22" s="100" t="s">
        <v>26</v>
      </c>
      <c r="D22" s="101"/>
      <c r="E22" s="6"/>
      <c r="F22" s="11" t="s">
        <v>1</v>
      </c>
      <c r="G22" s="11"/>
      <c r="H22" s="11"/>
      <c r="I22" s="31"/>
      <c r="J22" s="6"/>
      <c r="K22" s="106" t="s">
        <v>65</v>
      </c>
      <c r="L22" s="107"/>
      <c r="M22" s="130">
        <v>20</v>
      </c>
      <c r="N22" s="32"/>
      <c r="O22" s="6"/>
    </row>
    <row r="23" spans="1:16" ht="21.95" customHeight="1" thickBot="1">
      <c r="A23" s="44" t="s">
        <v>66</v>
      </c>
      <c r="B23" s="45"/>
      <c r="C23" s="44" t="s">
        <v>26</v>
      </c>
      <c r="D23" s="45"/>
      <c r="E23" s="6"/>
      <c r="F23" s="6"/>
      <c r="G23" s="33"/>
      <c r="H23" s="33"/>
      <c r="I23" s="33"/>
      <c r="J23" s="6"/>
      <c r="K23" s="61" t="s">
        <v>67</v>
      </c>
      <c r="L23" s="102"/>
      <c r="M23" s="130">
        <v>1</v>
      </c>
      <c r="N23" s="3">
        <f>M23/M$22</f>
        <v>0.05</v>
      </c>
      <c r="O23" s="6"/>
    </row>
    <row r="24" spans="1:16" ht="21.95" customHeight="1" thickBot="1">
      <c r="A24" s="108" t="s">
        <v>68</v>
      </c>
      <c r="B24" s="90"/>
      <c r="C24" s="108" t="s">
        <v>69</v>
      </c>
      <c r="D24" s="90"/>
      <c r="E24" s="6"/>
      <c r="F24" s="33"/>
      <c r="G24" s="33"/>
      <c r="H24" s="33"/>
      <c r="I24" s="33"/>
      <c r="J24" s="6"/>
      <c r="K24" s="61" t="s">
        <v>70</v>
      </c>
      <c r="L24" s="102"/>
      <c r="M24" s="130">
        <v>0</v>
      </c>
      <c r="N24" s="3">
        <f t="shared" ref="N24:N27" si="0">M24/M$22</f>
        <v>0</v>
      </c>
      <c r="O24" s="6"/>
    </row>
    <row r="25" spans="1:16" ht="21.95" customHeight="1" thickBot="1">
      <c r="A25" s="108" t="s">
        <v>71</v>
      </c>
      <c r="B25" s="90"/>
      <c r="C25" s="108" t="s">
        <v>44</v>
      </c>
      <c r="D25" s="90"/>
      <c r="E25" s="6"/>
      <c r="F25" s="11"/>
      <c r="G25" s="20"/>
      <c r="H25" s="20"/>
      <c r="I25" s="6"/>
      <c r="J25" s="6"/>
      <c r="K25" s="61" t="s">
        <v>72</v>
      </c>
      <c r="L25" s="102"/>
      <c r="M25" s="12">
        <v>0</v>
      </c>
      <c r="N25" s="3">
        <f t="shared" si="0"/>
        <v>0</v>
      </c>
      <c r="O25" s="6"/>
    </row>
    <row r="26" spans="1:16" ht="21.95" customHeight="1" thickBot="1">
      <c r="A26" s="108" t="s">
        <v>73</v>
      </c>
      <c r="B26" s="90"/>
      <c r="C26" s="108" t="s">
        <v>26</v>
      </c>
      <c r="D26" s="90"/>
      <c r="E26" s="6"/>
      <c r="F26" s="11"/>
      <c r="G26" s="20"/>
      <c r="H26" s="20"/>
      <c r="I26" s="6"/>
      <c r="J26" s="6"/>
      <c r="K26" s="61" t="s">
        <v>74</v>
      </c>
      <c r="L26" s="102"/>
      <c r="M26" s="12">
        <v>0</v>
      </c>
      <c r="N26" s="3">
        <f t="shared" si="0"/>
        <v>0</v>
      </c>
      <c r="O26" s="6"/>
    </row>
    <row r="27" spans="1:16" ht="21.95" customHeight="1" thickBot="1">
      <c r="A27" s="108" t="s">
        <v>75</v>
      </c>
      <c r="B27" s="90"/>
      <c r="C27" s="108" t="s">
        <v>44</v>
      </c>
      <c r="D27" s="90"/>
      <c r="E27" s="6"/>
      <c r="F27" s="11"/>
      <c r="G27" s="20"/>
      <c r="H27" s="20"/>
      <c r="I27" s="6"/>
      <c r="J27" s="31"/>
      <c r="K27" s="61" t="s">
        <v>76</v>
      </c>
      <c r="L27" s="102"/>
      <c r="M27" s="12">
        <v>0</v>
      </c>
      <c r="N27" s="3">
        <f t="shared" si="0"/>
        <v>0</v>
      </c>
      <c r="O27" s="6"/>
    </row>
    <row r="28" spans="1:16" ht="21.95" customHeight="1" thickBot="1">
      <c r="A28" s="108" t="s">
        <v>77</v>
      </c>
      <c r="B28" s="90"/>
      <c r="C28" s="108" t="s">
        <v>26</v>
      </c>
      <c r="D28" s="90"/>
      <c r="E28" s="6"/>
      <c r="F28" s="11"/>
      <c r="G28" s="20"/>
      <c r="H28" s="20"/>
      <c r="I28" s="6"/>
      <c r="J28" s="31"/>
      <c r="K28" s="61" t="s">
        <v>78</v>
      </c>
      <c r="L28" s="102"/>
      <c r="M28" s="12"/>
      <c r="N28" s="3">
        <f>SUM(M23:M27)/M22</f>
        <v>0.05</v>
      </c>
      <c r="O28" s="6"/>
    </row>
    <row r="29" spans="1:16">
      <c r="A29" s="6"/>
      <c r="B29" s="6"/>
      <c r="C29" s="6"/>
      <c r="D29" s="6"/>
      <c r="E29" s="6"/>
      <c r="F29" s="31"/>
      <c r="G29" s="31"/>
      <c r="H29" s="31"/>
      <c r="I29" s="31"/>
      <c r="J29" s="31"/>
      <c r="K29" s="6"/>
      <c r="L29" s="6"/>
      <c r="M29" s="6"/>
      <c r="N29" s="6"/>
      <c r="O29" s="34"/>
      <c r="P29" s="4"/>
    </row>
    <row r="30" spans="1:16" ht="15" thickBot="1">
      <c r="A30" s="7" t="s">
        <v>79</v>
      </c>
      <c r="B30" s="6"/>
      <c r="C30" s="6"/>
      <c r="D30" s="6"/>
      <c r="E30" s="6"/>
      <c r="F30" s="31"/>
      <c r="G30" s="31"/>
      <c r="H30" s="31"/>
      <c r="I30" s="31"/>
      <c r="J30" s="31"/>
      <c r="K30" s="31"/>
      <c r="L30" s="31"/>
      <c r="M30" s="31"/>
      <c r="N30" s="31"/>
      <c r="O30" s="34"/>
      <c r="P30" s="4"/>
    </row>
    <row r="31" spans="1:16" ht="15">
      <c r="A31" s="111" t="s">
        <v>80</v>
      </c>
      <c r="B31" s="131"/>
      <c r="C31" s="131"/>
      <c r="D31" s="131"/>
      <c r="E31" s="131"/>
      <c r="F31" s="131"/>
      <c r="G31" s="131"/>
      <c r="H31" s="131"/>
      <c r="I31" s="131"/>
      <c r="J31" s="131"/>
      <c r="K31" s="131"/>
      <c r="L31" s="131"/>
      <c r="M31" s="131"/>
      <c r="N31" s="132"/>
      <c r="O31" s="34"/>
      <c r="P31" s="4"/>
    </row>
    <row r="32" spans="1:16" ht="15">
      <c r="A32" s="133"/>
      <c r="B32" s="134"/>
      <c r="C32" s="134"/>
      <c r="D32" s="134"/>
      <c r="E32" s="134"/>
      <c r="F32" s="134"/>
      <c r="G32" s="134"/>
      <c r="H32" s="134"/>
      <c r="I32" s="134"/>
      <c r="J32" s="134"/>
      <c r="K32" s="134"/>
      <c r="L32" s="134"/>
      <c r="M32" s="134"/>
      <c r="N32" s="135"/>
      <c r="O32" s="34"/>
      <c r="P32" s="4"/>
    </row>
    <row r="33" spans="1:20" ht="15">
      <c r="A33" s="133"/>
      <c r="B33" s="134"/>
      <c r="C33" s="134"/>
      <c r="D33" s="134"/>
      <c r="E33" s="134"/>
      <c r="F33" s="134"/>
      <c r="G33" s="134"/>
      <c r="H33" s="134"/>
      <c r="I33" s="134"/>
      <c r="J33" s="134"/>
      <c r="K33" s="134"/>
      <c r="L33" s="134"/>
      <c r="M33" s="134"/>
      <c r="N33" s="135"/>
      <c r="O33" s="34"/>
      <c r="P33" s="4"/>
    </row>
    <row r="34" spans="1:20" ht="15" customHeight="1">
      <c r="A34" s="133"/>
      <c r="B34" s="134"/>
      <c r="C34" s="134"/>
      <c r="D34" s="134"/>
      <c r="E34" s="134"/>
      <c r="F34" s="134"/>
      <c r="G34" s="134"/>
      <c r="H34" s="134"/>
      <c r="I34" s="134"/>
      <c r="J34" s="134"/>
      <c r="K34" s="134"/>
      <c r="L34" s="134"/>
      <c r="M34" s="134"/>
      <c r="N34" s="135"/>
      <c r="O34" s="34"/>
      <c r="P34" s="4"/>
    </row>
    <row r="35" spans="1:20" ht="15">
      <c r="A35" s="133"/>
      <c r="B35" s="134"/>
      <c r="C35" s="134"/>
      <c r="D35" s="134"/>
      <c r="E35" s="134"/>
      <c r="F35" s="134"/>
      <c r="G35" s="134"/>
      <c r="H35" s="134"/>
      <c r="I35" s="134"/>
      <c r="J35" s="134"/>
      <c r="K35" s="134"/>
      <c r="L35" s="134"/>
      <c r="M35" s="134"/>
      <c r="N35" s="135"/>
      <c r="O35" s="6"/>
    </row>
    <row r="36" spans="1:20" ht="15">
      <c r="A36" s="133"/>
      <c r="B36" s="134"/>
      <c r="C36" s="134"/>
      <c r="D36" s="134"/>
      <c r="E36" s="134"/>
      <c r="F36" s="134"/>
      <c r="G36" s="134"/>
      <c r="H36" s="134"/>
      <c r="I36" s="134"/>
      <c r="J36" s="134"/>
      <c r="K36" s="134"/>
      <c r="L36" s="134"/>
      <c r="M36" s="134"/>
      <c r="N36" s="135"/>
      <c r="O36" s="6"/>
    </row>
    <row r="37" spans="1:20" ht="36" customHeight="1">
      <c r="A37" s="136"/>
      <c r="B37" s="137"/>
      <c r="C37" s="137"/>
      <c r="D37" s="137"/>
      <c r="E37" s="137"/>
      <c r="F37" s="137"/>
      <c r="G37" s="137"/>
      <c r="H37" s="137"/>
      <c r="I37" s="137"/>
      <c r="J37" s="137"/>
      <c r="K37" s="137"/>
      <c r="L37" s="137"/>
      <c r="M37" s="137"/>
      <c r="N37" s="138"/>
      <c r="O37" s="6"/>
    </row>
    <row r="38" spans="1:20">
      <c r="A38" s="6"/>
      <c r="B38" s="6"/>
      <c r="C38" s="6"/>
      <c r="D38" s="6"/>
      <c r="E38" s="6"/>
      <c r="F38" s="6"/>
      <c r="G38" s="6"/>
      <c r="H38" s="6"/>
      <c r="I38" s="6"/>
      <c r="J38" s="6"/>
      <c r="K38" s="6"/>
      <c r="L38" s="6"/>
      <c r="M38" s="6"/>
      <c r="N38" s="6"/>
      <c r="O38" s="6"/>
    </row>
    <row r="39" spans="1:20" ht="18.95" thickBot="1">
      <c r="A39" s="35" t="s">
        <v>81</v>
      </c>
      <c r="B39" s="6"/>
      <c r="C39" s="6"/>
      <c r="D39" s="6"/>
      <c r="E39" s="6"/>
      <c r="F39" s="6"/>
      <c r="G39" s="6"/>
      <c r="H39" s="6"/>
      <c r="I39" s="6"/>
      <c r="J39" s="6"/>
      <c r="K39" s="6"/>
      <c r="L39" s="6"/>
      <c r="M39" s="6"/>
      <c r="N39" s="6"/>
      <c r="O39" s="6"/>
    </row>
    <row r="40" spans="1:20" ht="15" customHeight="1">
      <c r="A40" s="124">
        <v>1</v>
      </c>
      <c r="B40" s="44" t="s">
        <v>82</v>
      </c>
      <c r="C40" s="39"/>
      <c r="D40" s="145" t="s">
        <v>83</v>
      </c>
      <c r="E40" s="156"/>
      <c r="F40" s="156"/>
      <c r="G40" s="156"/>
      <c r="H40" s="156"/>
      <c r="I40" s="156"/>
      <c r="J40" s="156"/>
      <c r="K40" s="156"/>
      <c r="L40" s="156"/>
      <c r="M40" s="156"/>
      <c r="N40" s="157"/>
      <c r="O40" s="34"/>
      <c r="P40" s="4"/>
      <c r="Q40" s="4"/>
      <c r="R40" s="4"/>
      <c r="S40" s="4"/>
      <c r="T40" s="4"/>
    </row>
    <row r="41" spans="1:20" ht="15.75" customHeight="1">
      <c r="A41" s="125"/>
      <c r="B41" s="41"/>
      <c r="C41" s="42"/>
      <c r="D41" s="158"/>
      <c r="E41" s="159"/>
      <c r="F41" s="159"/>
      <c r="G41" s="159"/>
      <c r="H41" s="159"/>
      <c r="I41" s="159"/>
      <c r="J41" s="159"/>
      <c r="K41" s="159"/>
      <c r="L41" s="159"/>
      <c r="M41" s="159"/>
      <c r="N41" s="160"/>
      <c r="O41" s="34"/>
      <c r="P41" s="4"/>
      <c r="Q41" s="4"/>
      <c r="R41" s="4"/>
      <c r="S41" s="4"/>
      <c r="T41" s="4"/>
    </row>
    <row r="42" spans="1:20" ht="15" customHeight="1">
      <c r="A42" s="125"/>
      <c r="B42" s="47" t="s">
        <v>84</v>
      </c>
      <c r="C42" s="103"/>
      <c r="D42" s="111" t="s">
        <v>85</v>
      </c>
      <c r="E42" s="151"/>
      <c r="F42" s="151"/>
      <c r="G42" s="151"/>
      <c r="H42" s="151"/>
      <c r="I42" s="151"/>
      <c r="J42" s="151"/>
      <c r="K42" s="151"/>
      <c r="L42" s="151"/>
      <c r="M42" s="151"/>
      <c r="N42" s="152"/>
      <c r="O42" s="34"/>
      <c r="P42" s="4"/>
      <c r="Q42" s="4"/>
      <c r="R42" s="4"/>
      <c r="S42" s="4"/>
      <c r="T42" s="4"/>
    </row>
    <row r="43" spans="1:20" ht="15">
      <c r="A43" s="125"/>
      <c r="B43" s="109"/>
      <c r="C43" s="110"/>
      <c r="D43" s="161"/>
      <c r="E43" s="162"/>
      <c r="F43" s="162"/>
      <c r="G43" s="162"/>
      <c r="H43" s="162"/>
      <c r="I43" s="162"/>
      <c r="J43" s="162"/>
      <c r="K43" s="162"/>
      <c r="L43" s="162"/>
      <c r="M43" s="162"/>
      <c r="N43" s="163"/>
      <c r="O43" s="34"/>
      <c r="P43" s="4"/>
      <c r="Q43" s="4"/>
      <c r="R43" s="4"/>
      <c r="S43" s="4"/>
      <c r="T43" s="4"/>
    </row>
    <row r="44" spans="1:20" ht="63.75" customHeight="1">
      <c r="A44" s="126"/>
      <c r="B44" s="104"/>
      <c r="C44" s="105"/>
      <c r="D44" s="153"/>
      <c r="E44" s="154"/>
      <c r="F44" s="154"/>
      <c r="G44" s="154"/>
      <c r="H44" s="154"/>
      <c r="I44" s="154"/>
      <c r="J44" s="154"/>
      <c r="K44" s="154"/>
      <c r="L44" s="154"/>
      <c r="M44" s="154"/>
      <c r="N44" s="155"/>
      <c r="O44" s="34"/>
      <c r="P44" s="4"/>
      <c r="Q44" s="4"/>
      <c r="R44" s="4"/>
      <c r="S44" s="4"/>
      <c r="T44" s="4"/>
    </row>
    <row r="45" spans="1:20" ht="15">
      <c r="A45" s="6"/>
      <c r="B45" s="6"/>
      <c r="C45" s="6"/>
      <c r="D45" s="34"/>
      <c r="E45" s="34"/>
      <c r="F45" s="34"/>
      <c r="G45" s="34"/>
      <c r="H45" s="34"/>
      <c r="I45" s="34"/>
      <c r="J45" s="34"/>
      <c r="K45" s="34"/>
      <c r="L45" s="34"/>
      <c r="M45" s="34"/>
      <c r="N45" s="34"/>
      <c r="O45" s="34"/>
      <c r="P45" s="4"/>
      <c r="Q45" s="4"/>
      <c r="R45" s="4"/>
      <c r="S45" s="4"/>
      <c r="T45" s="4"/>
    </row>
    <row r="46" spans="1:20" ht="15" customHeight="1">
      <c r="A46" s="124">
        <v>2</v>
      </c>
      <c r="B46" s="44" t="s">
        <v>82</v>
      </c>
      <c r="C46" s="39"/>
      <c r="D46" s="145" t="s">
        <v>86</v>
      </c>
      <c r="E46" s="146"/>
      <c r="F46" s="146"/>
      <c r="G46" s="146"/>
      <c r="H46" s="146"/>
      <c r="I46" s="146"/>
      <c r="J46" s="146"/>
      <c r="K46" s="146"/>
      <c r="L46" s="146"/>
      <c r="M46" s="146"/>
      <c r="N46" s="147"/>
      <c r="O46" s="34"/>
      <c r="P46" s="4"/>
      <c r="Q46" s="4"/>
      <c r="R46" s="4"/>
      <c r="S46" s="4"/>
      <c r="T46" s="4"/>
    </row>
    <row r="47" spans="1:20" ht="15.75" customHeight="1">
      <c r="A47" s="125"/>
      <c r="B47" s="41"/>
      <c r="C47" s="42"/>
      <c r="D47" s="148"/>
      <c r="E47" s="149"/>
      <c r="F47" s="149"/>
      <c r="G47" s="149"/>
      <c r="H47" s="149"/>
      <c r="I47" s="149"/>
      <c r="J47" s="149"/>
      <c r="K47" s="149"/>
      <c r="L47" s="149"/>
      <c r="M47" s="149"/>
      <c r="N47" s="150"/>
      <c r="O47" s="34"/>
      <c r="P47" s="4"/>
      <c r="Q47" s="4"/>
      <c r="R47" s="4"/>
      <c r="S47" s="4"/>
      <c r="T47" s="4"/>
    </row>
    <row r="48" spans="1:20" ht="15" customHeight="1">
      <c r="A48" s="125"/>
      <c r="B48" s="47" t="s">
        <v>84</v>
      </c>
      <c r="C48" s="103"/>
      <c r="D48" s="111" t="s">
        <v>87</v>
      </c>
      <c r="E48" s="112"/>
      <c r="F48" s="112"/>
      <c r="G48" s="112"/>
      <c r="H48" s="112"/>
      <c r="I48" s="112"/>
      <c r="J48" s="112"/>
      <c r="K48" s="112"/>
      <c r="L48" s="112"/>
      <c r="M48" s="112"/>
      <c r="N48" s="113"/>
      <c r="O48" s="34"/>
      <c r="P48" s="4"/>
      <c r="Q48" s="4"/>
      <c r="R48" s="4"/>
      <c r="S48" s="4"/>
      <c r="T48" s="4"/>
    </row>
    <row r="49" spans="1:20" ht="15">
      <c r="A49" s="125"/>
      <c r="B49" s="109"/>
      <c r="C49" s="110"/>
      <c r="D49" s="114"/>
      <c r="E49" s="115"/>
      <c r="F49" s="115"/>
      <c r="G49" s="115"/>
      <c r="H49" s="115"/>
      <c r="I49" s="115"/>
      <c r="J49" s="115"/>
      <c r="K49" s="115"/>
      <c r="L49" s="115"/>
      <c r="M49" s="115"/>
      <c r="N49" s="116"/>
      <c r="O49" s="34"/>
      <c r="P49" s="4"/>
      <c r="Q49" s="4"/>
      <c r="R49" s="4"/>
      <c r="S49" s="4"/>
      <c r="T49" s="4"/>
    </row>
    <row r="50" spans="1:20" ht="63.75" customHeight="1">
      <c r="A50" s="126"/>
      <c r="B50" s="104"/>
      <c r="C50" s="105"/>
      <c r="D50" s="117"/>
      <c r="E50" s="118"/>
      <c r="F50" s="118"/>
      <c r="G50" s="118"/>
      <c r="H50" s="118"/>
      <c r="I50" s="118"/>
      <c r="J50" s="118"/>
      <c r="K50" s="118"/>
      <c r="L50" s="118"/>
      <c r="M50" s="118"/>
      <c r="N50" s="119"/>
      <c r="O50" s="34"/>
      <c r="P50" s="4"/>
      <c r="Q50" s="4"/>
      <c r="R50" s="4"/>
      <c r="S50" s="4"/>
      <c r="T50" s="4"/>
    </row>
    <row r="51" spans="1:20" ht="15">
      <c r="A51" s="6"/>
      <c r="B51" s="6"/>
      <c r="C51" s="6"/>
      <c r="D51" s="34"/>
      <c r="E51" s="34"/>
      <c r="F51" s="34"/>
      <c r="G51" s="34"/>
      <c r="H51" s="34"/>
      <c r="I51" s="34"/>
      <c r="J51" s="34"/>
      <c r="K51" s="34"/>
      <c r="L51" s="34"/>
      <c r="M51" s="34"/>
      <c r="N51" s="34"/>
      <c r="O51" s="34"/>
      <c r="P51" s="4"/>
      <c r="Q51" s="4"/>
      <c r="R51" s="4"/>
      <c r="S51" s="4"/>
      <c r="T51" s="4"/>
    </row>
    <row r="52" spans="1:20" ht="15" customHeight="1">
      <c r="A52" s="124">
        <v>3</v>
      </c>
      <c r="B52" s="44" t="s">
        <v>82</v>
      </c>
      <c r="C52" s="39"/>
      <c r="D52" s="139" t="s">
        <v>88</v>
      </c>
      <c r="E52" s="140"/>
      <c r="F52" s="140"/>
      <c r="G52" s="140"/>
      <c r="H52" s="140"/>
      <c r="I52" s="140"/>
      <c r="J52" s="140"/>
      <c r="K52" s="140"/>
      <c r="L52" s="140"/>
      <c r="M52" s="140"/>
      <c r="N52" s="141"/>
      <c r="O52" s="34"/>
      <c r="P52" s="4"/>
      <c r="Q52" s="4"/>
      <c r="R52" s="4"/>
      <c r="S52" s="4"/>
      <c r="T52" s="4"/>
    </row>
    <row r="53" spans="1:20" ht="15.75" customHeight="1">
      <c r="A53" s="125"/>
      <c r="B53" s="41"/>
      <c r="C53" s="42"/>
      <c r="D53" s="142"/>
      <c r="E53" s="143"/>
      <c r="F53" s="143"/>
      <c r="G53" s="143"/>
      <c r="H53" s="143"/>
      <c r="I53" s="143"/>
      <c r="J53" s="143"/>
      <c r="K53" s="143"/>
      <c r="L53" s="143"/>
      <c r="M53" s="143"/>
      <c r="N53" s="144"/>
      <c r="O53" s="34"/>
      <c r="P53" s="4"/>
      <c r="Q53" s="4"/>
      <c r="R53" s="4"/>
      <c r="S53" s="4"/>
      <c r="T53" s="4"/>
    </row>
    <row r="54" spans="1:20" ht="15" customHeight="1">
      <c r="A54" s="125"/>
      <c r="B54" s="47" t="s">
        <v>84</v>
      </c>
      <c r="C54" s="103"/>
      <c r="D54" s="111" t="s">
        <v>89</v>
      </c>
      <c r="E54" s="112"/>
      <c r="F54" s="112"/>
      <c r="G54" s="112"/>
      <c r="H54" s="112"/>
      <c r="I54" s="112"/>
      <c r="J54" s="112"/>
      <c r="K54" s="112"/>
      <c r="L54" s="112"/>
      <c r="M54" s="112"/>
      <c r="N54" s="113"/>
      <c r="O54" s="34"/>
      <c r="P54" s="4"/>
      <c r="Q54" s="4"/>
      <c r="R54" s="4"/>
      <c r="S54" s="4"/>
      <c r="T54" s="4"/>
    </row>
    <row r="55" spans="1:20" ht="15">
      <c r="A55" s="125"/>
      <c r="B55" s="109"/>
      <c r="C55" s="110"/>
      <c r="D55" s="114"/>
      <c r="E55" s="115"/>
      <c r="F55" s="115"/>
      <c r="G55" s="115"/>
      <c r="H55" s="115"/>
      <c r="I55" s="115"/>
      <c r="J55" s="115"/>
      <c r="K55" s="115"/>
      <c r="L55" s="115"/>
      <c r="M55" s="115"/>
      <c r="N55" s="116"/>
      <c r="O55" s="34"/>
      <c r="P55" s="4"/>
      <c r="Q55" s="4"/>
      <c r="R55" s="4"/>
      <c r="S55" s="4"/>
      <c r="T55" s="4"/>
    </row>
    <row r="56" spans="1:20" ht="72" customHeight="1" thickBot="1">
      <c r="A56" s="126"/>
      <c r="B56" s="104"/>
      <c r="C56" s="105"/>
      <c r="D56" s="117"/>
      <c r="E56" s="118"/>
      <c r="F56" s="118"/>
      <c r="G56" s="118"/>
      <c r="H56" s="118"/>
      <c r="I56" s="118"/>
      <c r="J56" s="118"/>
      <c r="K56" s="118"/>
      <c r="L56" s="118"/>
      <c r="M56" s="118"/>
      <c r="N56" s="119"/>
      <c r="O56" s="34"/>
      <c r="P56" s="4"/>
      <c r="Q56" s="4"/>
      <c r="R56" s="4"/>
      <c r="S56" s="4"/>
      <c r="T56" s="4"/>
    </row>
    <row r="57" spans="1:20">
      <c r="A57" s="6"/>
      <c r="B57" s="6"/>
      <c r="C57" s="6"/>
      <c r="D57" s="6"/>
      <c r="E57" s="6"/>
      <c r="F57" s="6"/>
      <c r="G57" s="6"/>
      <c r="H57" s="6"/>
      <c r="I57" s="6"/>
      <c r="J57" s="6"/>
      <c r="K57" s="6"/>
      <c r="L57" s="6"/>
      <c r="M57" s="6"/>
      <c r="N57" s="6"/>
      <c r="O57" s="6"/>
    </row>
    <row r="58" spans="1:20">
      <c r="A58" s="120"/>
      <c r="B58" s="120"/>
      <c r="C58" s="120"/>
      <c r="D58" s="6"/>
      <c r="E58" s="6"/>
      <c r="F58" s="6"/>
      <c r="G58" s="6"/>
      <c r="H58" s="6"/>
      <c r="I58" s="6"/>
      <c r="J58" s="6"/>
      <c r="K58" s="6"/>
      <c r="L58" s="6"/>
      <c r="M58" s="6"/>
      <c r="N58" s="6"/>
      <c r="O58" s="6"/>
    </row>
    <row r="59" spans="1:20">
      <c r="A59" s="6"/>
      <c r="B59" s="6"/>
      <c r="C59" s="6"/>
      <c r="D59" s="6"/>
      <c r="E59" s="6"/>
      <c r="F59" s="6"/>
      <c r="G59" s="6"/>
      <c r="H59" s="6"/>
      <c r="I59" s="6"/>
      <c r="J59" s="6"/>
      <c r="K59" s="6"/>
      <c r="L59" s="6"/>
      <c r="M59" s="6"/>
      <c r="N59" s="6"/>
      <c r="O59" s="6"/>
    </row>
    <row r="60" spans="1:20">
      <c r="A60" s="34"/>
      <c r="B60" s="34"/>
      <c r="C60" s="34"/>
      <c r="D60" s="34"/>
      <c r="E60" s="34"/>
      <c r="F60" s="34"/>
      <c r="G60" s="34"/>
      <c r="H60" s="34"/>
      <c r="I60" s="34"/>
      <c r="J60" s="34"/>
      <c r="K60" s="34"/>
      <c r="L60" s="34"/>
      <c r="M60" s="34"/>
      <c r="N60" s="34"/>
      <c r="O60" s="34"/>
      <c r="P60" s="4"/>
      <c r="Q60" s="4"/>
      <c r="R60" s="4"/>
      <c r="S60" s="4"/>
      <c r="T60" s="4"/>
    </row>
    <row r="61" spans="1:20">
      <c r="A61" s="34"/>
      <c r="B61" s="34"/>
      <c r="C61" s="34"/>
      <c r="D61" s="34"/>
      <c r="E61" s="34"/>
      <c r="F61" s="34"/>
      <c r="G61" s="34"/>
      <c r="H61" s="34"/>
      <c r="I61" s="34"/>
      <c r="J61" s="34"/>
      <c r="K61" s="34"/>
      <c r="L61" s="34"/>
      <c r="M61" s="34"/>
      <c r="N61" s="34"/>
      <c r="O61" s="34"/>
      <c r="P61" s="4"/>
      <c r="Q61" s="4"/>
      <c r="R61" s="4"/>
      <c r="S61" s="4"/>
      <c r="T61" s="4"/>
    </row>
    <row r="62" spans="1:20">
      <c r="A62" s="34"/>
      <c r="B62" s="34"/>
      <c r="C62" s="34"/>
      <c r="D62" s="34"/>
      <c r="E62" s="34"/>
      <c r="F62" s="34"/>
      <c r="G62" s="34"/>
      <c r="H62" s="34"/>
      <c r="I62" s="34"/>
      <c r="J62" s="34"/>
      <c r="K62" s="34"/>
      <c r="L62" s="34"/>
      <c r="M62" s="34"/>
      <c r="N62" s="34"/>
      <c r="O62" s="34"/>
      <c r="P62" s="4"/>
      <c r="Q62" s="4"/>
      <c r="R62" s="4"/>
      <c r="S62" s="4"/>
      <c r="T62" s="4"/>
    </row>
    <row r="63" spans="1:20">
      <c r="A63" s="34"/>
      <c r="B63" s="34"/>
      <c r="C63" s="34"/>
      <c r="D63" s="34"/>
      <c r="E63" s="34"/>
      <c r="F63" s="34"/>
      <c r="G63" s="34"/>
      <c r="H63" s="34"/>
      <c r="I63" s="34"/>
      <c r="J63" s="34"/>
      <c r="K63" s="34"/>
      <c r="L63" s="34"/>
      <c r="M63" s="34"/>
      <c r="N63" s="34"/>
      <c r="O63" s="34"/>
      <c r="P63" s="4"/>
      <c r="Q63" s="4"/>
      <c r="R63" s="4"/>
      <c r="S63" s="4"/>
      <c r="T63" s="4"/>
    </row>
    <row r="64" spans="1:20">
      <c r="A64" s="4"/>
      <c r="B64" s="4"/>
      <c r="C64" s="4"/>
      <c r="D64" s="4"/>
      <c r="E64" s="4"/>
      <c r="F64" s="4"/>
      <c r="G64" s="4"/>
      <c r="H64" s="4"/>
      <c r="I64" s="4"/>
      <c r="J64" s="4"/>
      <c r="K64" s="4"/>
      <c r="L64" s="4"/>
      <c r="M64" s="4"/>
      <c r="N64" s="4"/>
      <c r="O64" s="4"/>
      <c r="P64" s="4"/>
      <c r="Q64" s="4"/>
      <c r="R64" s="4"/>
      <c r="S64" s="4"/>
      <c r="T64" s="4"/>
    </row>
    <row r="65" spans="1:20">
      <c r="A65" s="4"/>
      <c r="B65" s="4"/>
      <c r="C65" s="4"/>
      <c r="D65" s="4"/>
      <c r="E65" s="4"/>
      <c r="F65" s="4"/>
      <c r="G65" s="4"/>
      <c r="H65" s="4"/>
      <c r="I65" s="4"/>
      <c r="J65" s="4"/>
      <c r="K65" s="4"/>
      <c r="L65" s="4"/>
      <c r="M65" s="4"/>
      <c r="N65" s="4"/>
      <c r="O65" s="4"/>
      <c r="P65" s="4"/>
      <c r="Q65" s="4"/>
      <c r="R65" s="4"/>
      <c r="S65" s="4"/>
      <c r="T65" s="4"/>
    </row>
    <row r="66" spans="1:20">
      <c r="A66" s="4"/>
      <c r="B66" s="4"/>
      <c r="C66" s="4"/>
      <c r="D66" s="4"/>
      <c r="E66" s="4"/>
      <c r="F66" s="4"/>
      <c r="G66" s="4"/>
      <c r="H66" s="4"/>
      <c r="I66" s="4"/>
      <c r="J66" s="4"/>
      <c r="K66" s="4"/>
      <c r="L66" s="4"/>
      <c r="M66" s="4"/>
      <c r="N66" s="4"/>
      <c r="O66" s="4"/>
      <c r="P66" s="4"/>
      <c r="Q66" s="4"/>
      <c r="R66" s="4"/>
      <c r="S66" s="4"/>
      <c r="T66" s="4"/>
    </row>
    <row r="67" spans="1:20">
      <c r="A67" s="4"/>
      <c r="B67" s="4"/>
      <c r="C67" s="4"/>
      <c r="D67" s="4"/>
      <c r="E67" s="4"/>
      <c r="F67" s="4"/>
      <c r="G67" s="4"/>
      <c r="H67" s="4"/>
      <c r="I67" s="4"/>
      <c r="J67" s="4"/>
      <c r="K67" s="4"/>
      <c r="L67" s="4"/>
      <c r="M67" s="4"/>
      <c r="N67" s="4"/>
      <c r="O67" s="4"/>
      <c r="P67" s="4"/>
      <c r="Q67" s="4"/>
      <c r="R67" s="4"/>
      <c r="S67" s="4"/>
      <c r="T67" s="4"/>
    </row>
    <row r="68" spans="1:20">
      <c r="A68" s="4"/>
      <c r="B68" s="4"/>
      <c r="C68" s="4"/>
      <c r="D68" s="4"/>
      <c r="E68" s="4"/>
      <c r="F68" s="4"/>
      <c r="G68" s="4"/>
      <c r="H68" s="4"/>
      <c r="I68" s="4"/>
      <c r="J68" s="4"/>
      <c r="K68" s="4"/>
      <c r="L68" s="4"/>
      <c r="M68" s="4"/>
      <c r="N68" s="4"/>
      <c r="O68" s="4"/>
      <c r="P68" s="4"/>
      <c r="Q68" s="4"/>
      <c r="R68" s="4"/>
      <c r="S68" s="4"/>
      <c r="T68" s="4"/>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Corley</dc:creator>
  <cp:keywords/>
  <dc:description/>
  <cp:lastModifiedBy/>
  <cp:revision/>
  <dcterms:created xsi:type="dcterms:W3CDTF">2024-11-15T16:32:19Z</dcterms:created>
  <dcterms:modified xsi:type="dcterms:W3CDTF">2026-02-24T22:05:35Z</dcterms:modified>
  <cp:category/>
  <cp:contentStatus/>
</cp:coreProperties>
</file>