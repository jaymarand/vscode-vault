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cincigoodwill-my.sharepoint.com/personal/jasoncole_cincigoodwill_org/Documents/"/>
    </mc:Choice>
  </mc:AlternateContent>
  <xr:revisionPtr revIDLastSave="0" documentId="8_{CC74B7B8-70D3-492F-BBE0-6F4B6488908E}" xr6:coauthVersionLast="47" xr6:coauthVersionMax="47" xr10:uidLastSave="{00000000-0000-0000-0000-000000000000}"/>
  <bookViews>
    <workbookView xWindow="4470" yWindow="3615" windowWidth="21600" windowHeight="11235" xr2:uid="{FDFDB9D3-9731-4906-95BB-D332DBEB87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1" l="1"/>
  <c r="N27" i="1"/>
  <c r="N26" i="1"/>
  <c r="N25" i="1"/>
  <c r="N24" i="1"/>
  <c r="N23" i="1"/>
  <c r="N18" i="1"/>
  <c r="N17" i="1"/>
  <c r="N16" i="1"/>
  <c r="N15" i="1"/>
</calcChain>
</file>

<file path=xl/sharedStrings.xml><?xml version="1.0" encoding="utf-8"?>
<sst xmlns="http://schemas.openxmlformats.org/spreadsheetml/2006/main" count="94" uniqueCount="85">
  <si>
    <t>STORE REVIEW</t>
  </si>
  <si>
    <t xml:space="preserve"> </t>
  </si>
  <si>
    <t>Evaluation Completed by: Jason Cole</t>
  </si>
  <si>
    <t xml:space="preserve">Store </t>
  </si>
  <si>
    <t>Lebanon</t>
  </si>
  <si>
    <t>Training</t>
  </si>
  <si>
    <t>General Metrics</t>
  </si>
  <si>
    <t xml:space="preserve">Date </t>
  </si>
  <si>
    <t>New Hires Met</t>
  </si>
  <si>
    <t>Number of Hrly Employees Had 5 min Conversation With</t>
  </si>
  <si>
    <t xml:space="preserve">3-Lindsey, Amanda, Jacob, </t>
  </si>
  <si>
    <t># Rolling Racks Checked</t>
  </si>
  <si>
    <t>Date Previous Evaluation</t>
  </si>
  <si>
    <t xml:space="preserve">Number of New Hires </t>
  </si>
  <si>
    <t>Verifed Huddles                   Complete or Incomplete</t>
  </si>
  <si>
    <t>No</t>
  </si>
  <si>
    <t># Rolling Rack Items Sent Back</t>
  </si>
  <si>
    <t>Hang Count Variance</t>
  </si>
  <si>
    <t xml:space="preserve">Pre-Visit Data
</t>
  </si>
  <si>
    <t>Ecommerce % +/- to Budget</t>
  </si>
  <si>
    <t>Tote Count Variance</t>
  </si>
  <si>
    <t>Rev % +/- to Budget</t>
  </si>
  <si>
    <t>Average Transaction +/- to LY</t>
  </si>
  <si>
    <t>Number of Ecommerce totes sent MTD</t>
  </si>
  <si>
    <t>Rev % +/- to LY</t>
  </si>
  <si>
    <t>Labor % to Budget</t>
  </si>
  <si>
    <t>Is Truck Loaded Correctly</t>
  </si>
  <si>
    <t>yes</t>
  </si>
  <si>
    <t># Totes Checked</t>
  </si>
  <si>
    <t>Donation Growth % to LY</t>
  </si>
  <si>
    <t>Annualized Employee Turnover</t>
  </si>
  <si>
    <t># Tote Items Sent Back</t>
  </si>
  <si>
    <t>30 Day Sell Through %</t>
  </si>
  <si>
    <t># of Open Positions</t>
  </si>
  <si>
    <r>
      <rPr>
        <b/>
        <sz val="11"/>
        <color rgb="FF000000"/>
        <rFont val="Aptos Narrow"/>
        <family val="2"/>
        <scheme val="minor"/>
      </rPr>
      <t xml:space="preserve">Merchandising                                       </t>
    </r>
    <r>
      <rPr>
        <b/>
        <sz val="11"/>
        <color rgb="FFFF0000"/>
        <rFont val="Aptos Narrow"/>
        <family val="2"/>
        <scheme val="minor"/>
      </rPr>
      <t>Enter Yes or No</t>
    </r>
  </si>
  <si>
    <t>Error Rate Check Racks</t>
  </si>
  <si>
    <t>Enter # (check a minimum of 4 racks)</t>
  </si>
  <si>
    <r>
      <rPr>
        <b/>
        <sz val="11"/>
        <color rgb="FF000000"/>
        <rFont val="Aptos Narrow"/>
        <family val="2"/>
        <scheme val="minor"/>
      </rPr>
      <t>Pull/Rotation Validation                                Enter</t>
    </r>
    <r>
      <rPr>
        <b/>
        <sz val="11"/>
        <color rgb="FFFF0000"/>
        <rFont val="Aptos Narrow"/>
        <family val="2"/>
        <scheme val="minor"/>
      </rPr>
      <t xml:space="preserve"> Yes or No</t>
    </r>
  </si>
  <si>
    <t>% Auto Calc</t>
  </si>
  <si>
    <t>Wares Shelves Full &amp; Presented Well</t>
  </si>
  <si>
    <t>Total # of Items Checked</t>
  </si>
  <si>
    <t>Racks Full (70 - 80 items per 5 ft)</t>
  </si>
  <si>
    <t>Women's Rack</t>
  </si>
  <si>
    <t># Wrong Price</t>
  </si>
  <si>
    <t>Shoe Racks Full</t>
  </si>
  <si>
    <t>Men's Rack</t>
  </si>
  <si>
    <t># Defective</t>
  </si>
  <si>
    <t>End Caps Full &amp; Presented Well</t>
  </si>
  <si>
    <t>Kid's Rack</t>
  </si>
  <si>
    <t># Wrong Category/Size</t>
  </si>
  <si>
    <r>
      <rPr>
        <b/>
        <sz val="11"/>
        <color rgb="FF000000"/>
        <rFont val="Aptos Narrow"/>
        <family val="2"/>
        <scheme val="minor"/>
      </rPr>
      <t xml:space="preserve">Store Cleanliness                            </t>
    </r>
    <r>
      <rPr>
        <b/>
        <sz val="11"/>
        <color rgb="FFFF0000"/>
        <rFont val="Aptos Narrow"/>
        <family val="2"/>
        <scheme val="minor"/>
      </rPr>
      <t xml:space="preserve">      Enter Yes or No</t>
    </r>
  </si>
  <si>
    <t>Wares</t>
  </si>
  <si>
    <t xml:space="preserve"> Total Error Rate Rack</t>
  </si>
  <si>
    <t>Shoes</t>
  </si>
  <si>
    <t>Parking Lot</t>
  </si>
  <si>
    <t>Books</t>
  </si>
  <si>
    <t>Error Rate Check Container Labels</t>
  </si>
  <si>
    <t>Enter # (all accessible visible containers)</t>
  </si>
  <si>
    <t>Donation Area</t>
  </si>
  <si>
    <t>E&amp;M</t>
  </si>
  <si>
    <t>Windows / Entry</t>
  </si>
  <si>
    <t>Total # Containers Checked</t>
  </si>
  <si>
    <t>Cash Wraps</t>
  </si>
  <si>
    <t>Not Labeled</t>
  </si>
  <si>
    <t>Floor / Racks</t>
  </si>
  <si>
    <t>Labeled as Salvage but is Raw</t>
  </si>
  <si>
    <t>Wares / Shelves</t>
  </si>
  <si>
    <t>Labeled as Raw but is Salvage</t>
  </si>
  <si>
    <t>Fitting Rooms</t>
  </si>
  <si>
    <t>Labeled as Soft but is Hard</t>
  </si>
  <si>
    <t>Production Room</t>
  </si>
  <si>
    <t>Labeled as Hard but is Soft</t>
  </si>
  <si>
    <t>Offices</t>
  </si>
  <si>
    <t>Total Error Rate Container Labels</t>
  </si>
  <si>
    <t>General Store Comments</t>
  </si>
  <si>
    <t>Lebanon is performing well from a sales standpoint, currently +5% to budget and +26.3% to last year, with several departments contributing positively.  The store has maintained production room integrity.    However, we are missing proper execution in multiple areas of our business such as sales floor presentation,   efficient production, donation counts not being accurately captured,  and performance management issues.  These issues need to to be corrected immediately to ensure accurate reporting and proper execution.
The store is clean and has a solid routine in place, but there are execution gaps. The Spring flip was not fully completed to standard, and there have been issues with basic operational readiness, including running out of price tags and supplies. The team needs to be more proactive in identifying and addressing these gaps before they impact production and sales.
Production remains the biggest opportunity. Hardlines missed goal by 9% and Softlines by 15%, which is directly impacting key categories. Rack Goods (-13.3%) and Wares (-6.7%) are underperforming and must be the primary focus. On the positive side, Shoes (+3.8%), Toys (+27.4%), and Linens (+57.9%) are performing well and show what is possible with consistent execution.
There have also been personnel challenges requiring HR involvement, along with a noticeable lack of consistent leadership presence. Lindsey will need to step up in the manager’s absence by taking full ownership of daily operations, holding the team accountable, and actively performance managing issues.
Focus moving forward:
Correct donation counting immediately.
Improve Hardlines and Softlines production to meet demand.
Prioritize Rack Goods and Wares performance.
Ensure operational readiness (supplies, tagging, execution).
Strengthen leadership presence, accountability, and team management.</t>
  </si>
  <si>
    <t>Three Most Important Priorities</t>
  </si>
  <si>
    <t>Opportunity</t>
  </si>
  <si>
    <t>Meet or exceed weekly softlines production targets.  Continued from last visit. Currently -15% WTD with a unit goal deficit of 2700 pieces.</t>
  </si>
  <si>
    <t>Action Plan            (Smart Goal)</t>
  </si>
  <si>
    <t>Lindsey will be responsible for closing the current -15% WTD Softlines gap (2,700 units) and achieve 100%+ of weekly production goal by 4/4/26 through daily execution and accountability.
Key Actions:
Prioritize Softlines production daily with proper staffing.
Assign roles based on productivity to maximize output.
Monitor pace and adjust staffing/workflow in real time.
Provide daily coaching and correct process gaps.
Track daily results and address variances immediately.</t>
  </si>
  <si>
    <t>Fill the 3 open positions at Lebanon by 4/12/26 by increasing candidate flow and accelerating the hiring process. Incomplete</t>
  </si>
  <si>
    <t>Partner with District Director, recruiting, and marketing to implement QR codes and in-store hiring signage.
Review sign-in sheets daily and submit all candidates for immediate follow-up.
Support and participate in interviews to ensure quick evaluation and offers.
Utilize supervisors/ASM to promote hiring through in-store announcements and customer engagement.</t>
  </si>
  <si>
    <t>Complete the Spring Flip by  3/14/2026.</t>
  </si>
  <si>
    <t>By 3/14/2026, fully complete the Spring seasonal flip to ensure all departments reflect current spring layout, product placement, and merchandising standards.
Lindsey will create a category move plan with clear sections and completion dates to ensure the transition is completed in an organized and timely manner.
Ensure all in-season categories are properly set, sized, and signed, with priority placement on the sales floor.
Monitor progress throughout the week, adjusting staffing as needed to complete moves without leaving racks empty for extended periods.
Review progress during weekly leadership meetings until the flip is complete.
Conduct a final walkthrough by 3/15/2026 to verify presentation, organization, and overall customer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</si>
</sst>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22">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b/>
      <sz val="11"/>
      <color rgb="FFFF0000"/>
      <name val="Aptos Narrow"/>
      <family val="2"/>
      <scheme val="minor"/>
    </font>
    <font>
      <b/>
      <sz val="11"/>
      <name val="Aptos Narrow"/>
      <family val="2"/>
      <scheme val="minor"/>
    </font>
    <font>
      <b/>
      <sz val="18"/>
      <color theme="1"/>
      <name val="Aptos Narrow"/>
      <family val="2"/>
      <scheme val="minor"/>
    </font>
    <font>
      <b/>
      <sz val="12"/>
      <color rgb="FFFF000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000000"/>
      <name val="Aptos Narrow"/>
      <family val="2"/>
      <scheme val="minor"/>
    </font>
    <font>
      <b/>
      <sz val="11"/>
      <color rgb="FFDB1DBF"/>
      <name val="Aptos Narrow"/>
      <family val="2"/>
      <scheme val="minor"/>
    </font>
    <font>
      <sz val="11"/>
      <color rgb="FF000000"/>
      <name val="Aptos Narrow"/>
      <family val="2"/>
      <scheme val="minor"/>
    </font>
    <font>
      <b/>
      <sz val="10"/>
      <color theme="1"/>
      <name val="Aptos Narrow"/>
      <family val="2"/>
      <scheme val="minor"/>
    </font>
    <font>
      <sz val="11"/>
      <name val="Aptos Narrow"/>
      <family val="2"/>
      <scheme val="minor"/>
    </font>
    <font>
      <b/>
      <sz val="8"/>
      <color theme="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9" fontId="1" fillId="0" borderId="0" applyFont="0" applyFill="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cellStyleXfs>
  <cellXfs count="150">
    <xf numFmtId="0" fontId="0" fillId="0" borderId="0" xfId="0"/>
    <xf numFmtId="0" fontId="3" fillId="0" borderId="0" xfId="0" applyFont="1" applyAlignment="1">
      <alignment horizontal="center" vertical="center"/>
    </xf>
    <xf numFmtId="0" fontId="7" fillId="2" borderId="9" xfId="0" applyFont="1" applyFill="1" applyBorder="1" applyAlignment="1">
      <alignment horizontal="center" vertical="center" wrapText="1"/>
    </xf>
    <xf numFmtId="9" fontId="3" fillId="2" borderId="12" xfId="1" applyFont="1" applyFill="1" applyBorder="1" applyAlignment="1">
      <alignment horizontal="center" vertical="center"/>
    </xf>
    <xf numFmtId="0" fontId="3" fillId="0" borderId="0" xfId="0" applyFont="1" applyAlignment="1">
      <alignment horizontal="left" vertical="top"/>
    </xf>
    <xf numFmtId="0" fontId="4"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8" xfId="0"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9" fontId="7" fillId="2" borderId="9" xfId="1" applyFont="1" applyFill="1" applyBorder="1" applyAlignment="1">
      <alignment horizontal="center" vertical="center"/>
    </xf>
    <xf numFmtId="2" fontId="3" fillId="2" borderId="0" xfId="0" applyNumberFormat="1" applyFont="1" applyFill="1" applyAlignment="1">
      <alignment horizontal="center" vertical="center"/>
    </xf>
    <xf numFmtId="0" fontId="7" fillId="2" borderId="12" xfId="0" applyFont="1" applyFill="1" applyBorder="1" applyAlignment="1">
      <alignment horizontal="center" vertical="center"/>
    </xf>
    <xf numFmtId="9" fontId="7" fillId="2" borderId="9" xfId="1" applyFont="1" applyFill="1" applyBorder="1" applyAlignment="1">
      <alignment horizontal="center" vertical="center" wrapText="1"/>
    </xf>
    <xf numFmtId="0" fontId="7" fillId="2" borderId="0" xfId="0" applyFont="1" applyFill="1" applyAlignment="1">
      <alignment horizontal="center" vertical="center" wrapText="1"/>
    </xf>
    <xf numFmtId="14" fontId="7" fillId="2" borderId="0" xfId="0" applyNumberFormat="1" applyFont="1" applyFill="1" applyAlignment="1">
      <alignment horizontal="center" vertical="center"/>
    </xf>
    <xf numFmtId="0" fontId="8" fillId="2" borderId="0" xfId="0" applyFont="1" applyFill="1" applyAlignment="1">
      <alignment horizontal="center" vertical="center"/>
    </xf>
    <xf numFmtId="0" fontId="7" fillId="2" borderId="1" xfId="0" applyFont="1" applyFill="1" applyBorder="1" applyAlignment="1">
      <alignment horizontal="center" vertical="center"/>
    </xf>
    <xf numFmtId="0" fontId="3" fillId="2" borderId="9" xfId="0" applyFont="1" applyFill="1" applyBorder="1" applyAlignment="1">
      <alignment horizontal="center" vertical="center"/>
    </xf>
    <xf numFmtId="164" fontId="3" fillId="2" borderId="9" xfId="1" applyNumberFormat="1" applyFont="1" applyFill="1" applyBorder="1" applyAlignment="1">
      <alignment horizontal="center" vertical="center"/>
    </xf>
    <xf numFmtId="9" fontId="10" fillId="2" borderId="9" xfId="1" applyFont="1" applyFill="1" applyBorder="1" applyAlignment="1">
      <alignment horizontal="center" vertical="center"/>
    </xf>
    <xf numFmtId="164" fontId="3" fillId="2" borderId="0" xfId="1" applyNumberFormat="1" applyFont="1" applyFill="1" applyBorder="1" applyAlignment="1">
      <alignment horizontal="center" vertical="center"/>
    </xf>
    <xf numFmtId="164" fontId="3" fillId="2" borderId="4" xfId="1" applyNumberFormat="1" applyFont="1" applyFill="1" applyBorder="1" applyAlignment="1">
      <alignment horizontal="center" vertical="center"/>
    </xf>
    <xf numFmtId="0" fontId="0" fillId="2" borderId="0" xfId="0" applyFill="1"/>
    <xf numFmtId="0" fontId="8" fillId="2" borderId="9" xfId="0" applyFont="1" applyFill="1" applyBorder="1" applyAlignment="1">
      <alignment horizontal="center" vertical="center"/>
    </xf>
    <xf numFmtId="0" fontId="8" fillId="2" borderId="4" xfId="0" applyFont="1" applyFill="1" applyBorder="1" applyAlignment="1">
      <alignment horizontal="center" vertical="center"/>
    </xf>
    <xf numFmtId="0" fontId="0" fillId="2" borderId="0" xfId="0" applyFill="1" applyAlignment="1">
      <alignment horizontal="center"/>
    </xf>
    <xf numFmtId="0" fontId="3" fillId="2" borderId="0" xfId="0" applyFont="1" applyFill="1" applyAlignment="1">
      <alignment horizontal="left" vertical="top"/>
    </xf>
    <xf numFmtId="0" fontId="17" fillId="2" borderId="0" xfId="0" applyFont="1" applyFill="1" applyAlignment="1">
      <alignment horizontal="center" vertical="center"/>
    </xf>
    <xf numFmtId="0" fontId="6" fillId="2" borderId="0" xfId="0" applyFont="1" applyFill="1" applyAlignment="1">
      <alignment horizontal="left" vertical="center"/>
    </xf>
    <xf numFmtId="0" fontId="19" fillId="2" borderId="0" xfId="0" applyFont="1" applyFill="1" applyAlignment="1">
      <alignment horizontal="center" vertical="center"/>
    </xf>
    <xf numFmtId="0" fontId="0" fillId="2" borderId="9" xfId="3" applyFont="1" applyFill="1" applyBorder="1" applyAlignment="1">
      <alignment horizontal="center" vertical="center"/>
    </xf>
    <xf numFmtId="9" fontId="14" fillId="4" borderId="9" xfId="3" applyNumberFormat="1" applyBorder="1" applyAlignment="1">
      <alignment horizontal="center" vertical="center"/>
    </xf>
    <xf numFmtId="0" fontId="21" fillId="6" borderId="9" xfId="0" applyFont="1" applyFill="1" applyBorder="1" applyAlignment="1">
      <alignment horizontal="left" vertical="top" wrapText="1"/>
    </xf>
    <xf numFmtId="0" fontId="3" fillId="6" borderId="9" xfId="0" applyFont="1" applyFill="1" applyBorder="1" applyAlignment="1">
      <alignment horizontal="center" vertical="center"/>
    </xf>
    <xf numFmtId="0" fontId="3" fillId="6" borderId="1" xfId="0" applyFont="1" applyFill="1" applyBorder="1" applyAlignment="1">
      <alignment horizontal="center" vertical="center"/>
    </xf>
    <xf numFmtId="9" fontId="14" fillId="4" borderId="9" xfId="3" applyNumberFormat="1" applyBorder="1" applyAlignment="1">
      <alignment horizontal="center" vertical="center" wrapText="1"/>
    </xf>
    <xf numFmtId="0" fontId="0" fillId="6" borderId="9" xfId="0" applyFill="1" applyBorder="1" applyAlignment="1">
      <alignment horizontal="center" vertical="center"/>
    </xf>
    <xf numFmtId="0" fontId="7" fillId="6" borderId="9" xfId="0" applyFont="1" applyFill="1" applyBorder="1" applyAlignment="1">
      <alignment horizontal="center" vertical="center"/>
    </xf>
    <xf numFmtId="0" fontId="8" fillId="6" borderId="12" xfId="0" applyFont="1" applyFill="1" applyBorder="1" applyAlignment="1">
      <alignment horizontal="center" vertical="center"/>
    </xf>
    <xf numFmtId="0" fontId="7" fillId="6" borderId="12"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14" fontId="9" fillId="2" borderId="10" xfId="0" applyNumberFormat="1" applyFont="1" applyFill="1" applyBorder="1" applyAlignment="1">
      <alignment horizontal="center" vertical="center"/>
    </xf>
    <xf numFmtId="14" fontId="9" fillId="2" borderId="11" xfId="0" applyNumberFormat="1" applyFont="1" applyFill="1" applyBorder="1" applyAlignment="1">
      <alignment horizontal="center" vertical="center"/>
    </xf>
    <xf numFmtId="14" fontId="9" fillId="2" borderId="1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3" fillId="2" borderId="10" xfId="0" applyFont="1" applyFill="1" applyBorder="1" applyAlignment="1">
      <alignment horizontal="center" vertical="center"/>
    </xf>
    <xf numFmtId="0" fontId="0" fillId="2" borderId="12" xfId="0" applyFill="1" applyBorder="1" applyAlignment="1">
      <alignment horizontal="center" vertical="center"/>
    </xf>
    <xf numFmtId="14" fontId="7" fillId="2" borderId="10" xfId="0" applyNumberFormat="1"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16" fillId="2" borderId="2" xfId="0" applyFont="1" applyFill="1" applyBorder="1" applyAlignment="1">
      <alignment horizontal="center" vertical="center" wrapText="1"/>
    </xf>
    <xf numFmtId="0" fontId="0" fillId="2" borderId="11" xfId="0" applyFill="1" applyBorder="1" applyAlignment="1">
      <alignment horizontal="center" vertical="center" wrapText="1"/>
    </xf>
    <xf numFmtId="0" fontId="7" fillId="2" borderId="10" xfId="0" applyFont="1" applyFill="1" applyBorder="1" applyAlignment="1">
      <alignment horizontal="center" vertical="center" wrapText="1"/>
    </xf>
    <xf numFmtId="0" fontId="8" fillId="2" borderId="12" xfId="0" applyFont="1" applyFill="1" applyBorder="1" applyAlignment="1">
      <alignment horizontal="center" vertical="center" wrapText="1"/>
    </xf>
    <xf numFmtId="9" fontId="13" fillId="3" borderId="10" xfId="2" applyNumberFormat="1" applyBorder="1" applyAlignment="1">
      <alignment horizontal="center" vertical="center" wrapText="1"/>
    </xf>
    <xf numFmtId="9" fontId="13" fillId="3" borderId="12" xfId="2" applyNumberFormat="1" applyBorder="1" applyAlignment="1">
      <alignment horizontal="center" vertical="center" wrapText="1"/>
    </xf>
    <xf numFmtId="0" fontId="0" fillId="2" borderId="12" xfId="0" applyFill="1" applyBorder="1" applyAlignment="1">
      <alignment horizontal="center" vertical="center" wrapText="1"/>
    </xf>
    <xf numFmtId="8" fontId="13" fillId="3" borderId="10" xfId="2" applyNumberFormat="1" applyBorder="1" applyAlignment="1">
      <alignment horizontal="center" vertical="center" wrapText="1"/>
    </xf>
    <xf numFmtId="44" fontId="13" fillId="3" borderId="12" xfId="2" applyNumberFormat="1" applyBorder="1" applyAlignment="1">
      <alignment horizontal="center" vertical="center" wrapText="1"/>
    </xf>
    <xf numFmtId="10" fontId="0" fillId="2" borderId="10" xfId="3" applyNumberFormat="1" applyFont="1" applyFill="1" applyBorder="1" applyAlignment="1">
      <alignment horizontal="center" vertical="center" wrapText="1"/>
    </xf>
    <xf numFmtId="10" fontId="0" fillId="2" borderId="12" xfId="3" applyNumberFormat="1" applyFont="1" applyFill="1" applyBorder="1" applyAlignment="1">
      <alignment horizontal="center" vertical="center" wrapText="1"/>
    </xf>
    <xf numFmtId="9" fontId="18" fillId="2" borderId="10" xfId="3" applyNumberFormat="1" applyFont="1" applyFill="1" applyBorder="1" applyAlignment="1">
      <alignment horizontal="center" vertical="center"/>
    </xf>
    <xf numFmtId="9" fontId="18" fillId="2" borderId="12" xfId="3" applyNumberFormat="1" applyFont="1" applyFill="1" applyBorder="1" applyAlignment="1">
      <alignment horizontal="center" vertical="center"/>
    </xf>
    <xf numFmtId="9" fontId="0" fillId="2" borderId="10" xfId="3" applyNumberFormat="1" applyFont="1" applyFill="1" applyBorder="1" applyAlignment="1">
      <alignment horizontal="center" vertical="center" wrapText="1"/>
    </xf>
    <xf numFmtId="9" fontId="0" fillId="2" borderId="12" xfId="3" applyNumberFormat="1" applyFont="1" applyFill="1" applyBorder="1" applyAlignment="1">
      <alignment horizontal="center" vertical="center" wrapText="1"/>
    </xf>
    <xf numFmtId="9" fontId="16" fillId="2" borderId="10" xfId="4" applyNumberFormat="1" applyFont="1" applyFill="1" applyBorder="1" applyAlignment="1">
      <alignment horizontal="center" vertical="center"/>
    </xf>
    <xf numFmtId="9" fontId="16" fillId="2" borderId="12" xfId="4" applyNumberFormat="1" applyFont="1" applyFill="1" applyBorder="1" applyAlignment="1">
      <alignment horizontal="center" vertical="center"/>
    </xf>
    <xf numFmtId="0" fontId="9"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13" xfId="0" applyFill="1" applyBorder="1" applyAlignment="1">
      <alignment horizontal="center" wrapText="1"/>
    </xf>
    <xf numFmtId="0" fontId="0" fillId="2" borderId="0" xfId="0" applyFill="1" applyAlignment="1">
      <alignment horizontal="center" wrapText="1"/>
    </xf>
    <xf numFmtId="0" fontId="0" fillId="2" borderId="14" xfId="0" applyFill="1" applyBorder="1" applyAlignment="1">
      <alignment horizontal="center" wrapText="1"/>
    </xf>
    <xf numFmtId="0" fontId="9" fillId="2" borderId="3"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0" fillId="2" borderId="11"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3" xfId="0" applyFill="1" applyBorder="1" applyAlignment="1">
      <alignment wrapText="1"/>
    </xf>
    <xf numFmtId="0" fontId="0" fillId="2" borderId="4" xfId="0" applyFill="1" applyBorder="1" applyAlignment="1">
      <alignment wrapTex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3" fillId="2" borderId="10" xfId="0" applyFont="1" applyFill="1" applyBorder="1" applyAlignment="1">
      <alignment horizontal="center" vertical="top"/>
    </xf>
    <xf numFmtId="0" fontId="0" fillId="2" borderId="12" xfId="0" applyFill="1" applyBorder="1" applyAlignment="1">
      <alignment horizontal="center" vertical="top"/>
    </xf>
    <xf numFmtId="0" fontId="3" fillId="6" borderId="10" xfId="0" applyFont="1" applyFill="1" applyBorder="1" applyAlignment="1">
      <alignment horizontal="center" vertical="top"/>
    </xf>
    <xf numFmtId="0" fontId="0" fillId="6" borderId="12" xfId="0" applyFill="1" applyBorder="1" applyAlignment="1">
      <alignment horizontal="center" vertical="top"/>
    </xf>
    <xf numFmtId="0" fontId="7" fillId="2" borderId="1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3" fillId="6" borderId="2" xfId="0" applyFont="1" applyFill="1" applyBorder="1" applyAlignment="1">
      <alignment horizontal="center" vertical="center"/>
    </xf>
    <xf numFmtId="0" fontId="0" fillId="6" borderId="4" xfId="0" applyFill="1" applyBorder="1" applyAlignment="1">
      <alignment horizontal="center" vertical="center"/>
    </xf>
    <xf numFmtId="0" fontId="3" fillId="6" borderId="10" xfId="0" applyFont="1" applyFill="1" applyBorder="1" applyAlignment="1">
      <alignment horizontal="center" vertical="center"/>
    </xf>
    <xf numFmtId="0" fontId="0" fillId="6" borderId="12" xfId="0" applyFill="1" applyBorder="1" applyAlignment="1">
      <alignment horizontal="center" vertical="center"/>
    </xf>
    <xf numFmtId="0" fontId="3" fillId="2" borderId="1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3" fillId="2" borderId="0" xfId="0" applyFont="1" applyFill="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12" fillId="2" borderId="2" xfId="0" applyFont="1" applyFill="1" applyBorder="1" applyAlignment="1">
      <alignment horizontal="left" vertical="top" wrapText="1"/>
    </xf>
    <xf numFmtId="0" fontId="10" fillId="2" borderId="2" xfId="0" applyFont="1" applyFill="1" applyBorder="1" applyAlignment="1">
      <alignment horizontal="left" vertical="top" wrapText="1"/>
    </xf>
    <xf numFmtId="0" fontId="20" fillId="2" borderId="3" xfId="0" applyFont="1" applyFill="1" applyBorder="1" applyAlignment="1">
      <alignment horizontal="left" vertical="top" wrapText="1"/>
    </xf>
    <xf numFmtId="0" fontId="20" fillId="2" borderId="4" xfId="0" applyFont="1" applyFill="1" applyBorder="1" applyAlignment="1">
      <alignment horizontal="left" vertical="top" wrapText="1"/>
    </xf>
    <xf numFmtId="0" fontId="20" fillId="2" borderId="13" xfId="0" applyFont="1" applyFill="1" applyBorder="1" applyAlignment="1">
      <alignment horizontal="left" vertical="top" wrapText="1"/>
    </xf>
    <xf numFmtId="0" fontId="20" fillId="2" borderId="0" xfId="0" applyFont="1" applyFill="1" applyAlignment="1">
      <alignment horizontal="left" vertical="top" wrapText="1"/>
    </xf>
    <xf numFmtId="0" fontId="20" fillId="2" borderId="14" xfId="0" applyFont="1" applyFill="1" applyBorder="1" applyAlignment="1">
      <alignment horizontal="left" vertical="top" wrapText="1"/>
    </xf>
    <xf numFmtId="0" fontId="20" fillId="2" borderId="6" xfId="0" applyFont="1" applyFill="1" applyBorder="1" applyAlignment="1">
      <alignment horizontal="left" vertical="top" wrapText="1"/>
    </xf>
    <xf numFmtId="0" fontId="20" fillId="2" borderId="7" xfId="0" applyFont="1" applyFill="1" applyBorder="1" applyAlignment="1">
      <alignment horizontal="left" vertical="top" wrapText="1"/>
    </xf>
    <xf numFmtId="0" fontId="20" fillId="2" borderId="8" xfId="0" applyFont="1" applyFill="1" applyBorder="1" applyAlignment="1">
      <alignment horizontal="left" vertical="top" wrapText="1"/>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colors>
    <mruColors>
      <color rgb="FFDB1DBF"/>
      <color rgb="FFF5F5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737-97CF-46AF-823B-BC526D273241}">
  <dimension ref="A1:T68"/>
  <sheetViews>
    <sheetView tabSelected="1" topLeftCell="A45" workbookViewId="0">
      <selection activeCell="O53" sqref="O53"/>
    </sheetView>
  </sheetViews>
  <sheetFormatPr defaultColWidth="9.140625" defaultRowHeight="15"/>
  <cols>
    <col min="1" max="1" width="12" style="1" customWidth="1"/>
    <col min="2" max="3" width="9.140625" style="1"/>
    <col min="4" max="4" width="20" style="1" customWidth="1"/>
    <col min="5" max="5" width="4.7109375" style="1" customWidth="1"/>
    <col min="6" max="6" width="10.28515625" style="1" customWidth="1"/>
    <col min="7" max="7" width="10" style="1" customWidth="1"/>
    <col min="8" max="8" width="9.140625" style="1"/>
    <col min="9" max="9" width="9.85546875" style="1" customWidth="1"/>
    <col min="10" max="10" width="4.7109375" style="1" customWidth="1"/>
    <col min="11" max="11" width="23" style="1" customWidth="1"/>
    <col min="12" max="12" width="18.85546875" style="1" customWidth="1"/>
    <col min="13" max="13" width="25.140625" style="1" customWidth="1"/>
    <col min="14" max="14" width="18.28515625" style="1" customWidth="1"/>
    <col min="15" max="15" width="17.140625" style="1" customWidth="1"/>
    <col min="16" max="16" width="9.140625" style="1"/>
    <col min="17" max="17" width="9.5703125" style="1" customWidth="1"/>
    <col min="18" max="18" width="10" style="1" customWidth="1"/>
    <col min="19" max="19" width="10.28515625" style="1" customWidth="1"/>
    <col min="20" max="20" width="12" style="1" customWidth="1"/>
    <col min="21" max="16384" width="9.140625" style="1"/>
  </cols>
  <sheetData>
    <row r="1" spans="1:15" ht="28.5" customHeight="1" thickBot="1">
      <c r="A1" s="5" t="s">
        <v>0</v>
      </c>
      <c r="B1" s="6"/>
      <c r="C1" s="6"/>
      <c r="D1" s="6"/>
      <c r="E1" s="6" t="s">
        <v>1</v>
      </c>
      <c r="F1" s="7" t="s">
        <v>1</v>
      </c>
      <c r="G1" s="6" t="s">
        <v>1</v>
      </c>
      <c r="H1" s="6"/>
      <c r="I1" s="6"/>
      <c r="J1" s="6"/>
      <c r="K1" s="134" t="s">
        <v>2</v>
      </c>
      <c r="L1" s="135"/>
      <c r="M1" s="135"/>
      <c r="N1" s="136"/>
      <c r="O1" s="6"/>
    </row>
    <row r="2" spans="1:15" ht="21.75" customHeight="1">
      <c r="A2" s="44" t="s">
        <v>3</v>
      </c>
      <c r="B2" s="46" t="s">
        <v>4</v>
      </c>
      <c r="C2" s="47"/>
      <c r="D2" s="48"/>
      <c r="E2" s="6"/>
      <c r="F2" s="52" t="s">
        <v>5</v>
      </c>
      <c r="G2" s="47"/>
      <c r="H2" s="47"/>
      <c r="I2" s="53"/>
      <c r="J2" s="6"/>
      <c r="K2" s="55" t="s">
        <v>6</v>
      </c>
      <c r="L2" s="56"/>
      <c r="M2" s="56"/>
      <c r="N2" s="57"/>
      <c r="O2" s="9"/>
    </row>
    <row r="3" spans="1:15" ht="23.25" customHeight="1" thickBot="1">
      <c r="A3" s="45"/>
      <c r="B3" s="49"/>
      <c r="C3" s="50"/>
      <c r="D3" s="51"/>
      <c r="E3" s="6"/>
      <c r="F3" s="49"/>
      <c r="G3" s="50"/>
      <c r="H3" s="50"/>
      <c r="I3" s="54"/>
      <c r="J3" s="6"/>
      <c r="K3" s="58"/>
      <c r="L3" s="59"/>
      <c r="M3" s="59"/>
      <c r="N3" s="60"/>
      <c r="O3" s="11"/>
    </row>
    <row r="4" spans="1:15" ht="24" customHeight="1" thickBot="1">
      <c r="A4" s="12" t="s">
        <v>7</v>
      </c>
      <c r="B4" s="61">
        <v>46105</v>
      </c>
      <c r="C4" s="62"/>
      <c r="D4" s="63"/>
      <c r="E4" s="6"/>
      <c r="F4" s="64" t="s">
        <v>8</v>
      </c>
      <c r="G4" s="65"/>
      <c r="H4" s="66">
        <v>1</v>
      </c>
      <c r="I4" s="67"/>
      <c r="J4" s="6"/>
      <c r="K4" s="2" t="s">
        <v>9</v>
      </c>
      <c r="L4" s="12" t="s">
        <v>10</v>
      </c>
      <c r="M4" s="13" t="s">
        <v>11</v>
      </c>
      <c r="N4" s="40"/>
      <c r="O4" s="14"/>
    </row>
    <row r="5" spans="1:15" ht="25.5" customHeight="1">
      <c r="A5" s="2" t="s">
        <v>12</v>
      </c>
      <c r="B5" s="68">
        <v>46086</v>
      </c>
      <c r="C5" s="69"/>
      <c r="D5" s="70"/>
      <c r="E5" s="6"/>
      <c r="F5" s="71" t="s">
        <v>13</v>
      </c>
      <c r="G5" s="72"/>
      <c r="H5" s="66">
        <v>1</v>
      </c>
      <c r="I5" s="67"/>
      <c r="J5" s="6"/>
      <c r="K5" s="16" t="s">
        <v>14</v>
      </c>
      <c r="L5" s="33" t="s">
        <v>15</v>
      </c>
      <c r="M5" s="12" t="s">
        <v>16</v>
      </c>
      <c r="N5" s="41"/>
      <c r="O5" s="6"/>
    </row>
    <row r="6" spans="1:15" ht="25.5" customHeight="1" thickBot="1">
      <c r="A6" s="17"/>
      <c r="B6" s="18"/>
      <c r="C6" s="19"/>
      <c r="D6" s="19"/>
      <c r="E6" s="6"/>
      <c r="F6" s="11"/>
      <c r="G6" s="11"/>
      <c r="H6" s="6"/>
      <c r="I6" s="9"/>
      <c r="J6" s="6"/>
      <c r="K6" s="13"/>
      <c r="L6" s="12"/>
      <c r="M6" s="13" t="s">
        <v>17</v>
      </c>
      <c r="N6" s="35">
        <v>-0.15</v>
      </c>
      <c r="O6" s="6"/>
    </row>
    <row r="7" spans="1:15" ht="48" customHeight="1">
      <c r="A7" s="73" t="s">
        <v>18</v>
      </c>
      <c r="B7" s="56"/>
      <c r="C7" s="56"/>
      <c r="D7" s="56"/>
      <c r="E7" s="74"/>
      <c r="F7" s="56"/>
      <c r="G7" s="56"/>
      <c r="H7" s="56"/>
      <c r="I7" s="57"/>
      <c r="J7" s="6"/>
      <c r="K7" s="16" t="s">
        <v>19</v>
      </c>
      <c r="L7" s="39">
        <v>0.54</v>
      </c>
      <c r="M7" s="13" t="s">
        <v>20</v>
      </c>
      <c r="N7" s="35">
        <v>-0.09</v>
      </c>
      <c r="O7" s="6"/>
    </row>
    <row r="8" spans="1:15" ht="25.5" customHeight="1">
      <c r="A8" s="75" t="s">
        <v>21</v>
      </c>
      <c r="B8" s="76"/>
      <c r="C8" s="77">
        <v>4.9000000000000002E-2</v>
      </c>
      <c r="D8" s="78"/>
      <c r="E8" s="6"/>
      <c r="F8" s="75" t="s">
        <v>22</v>
      </c>
      <c r="G8" s="79"/>
      <c r="H8" s="80">
        <v>2.44</v>
      </c>
      <c r="I8" s="81"/>
      <c r="J8" s="6"/>
      <c r="K8" s="2" t="s">
        <v>23</v>
      </c>
      <c r="L8" s="34">
        <v>4</v>
      </c>
      <c r="M8" s="12"/>
      <c r="N8" s="12"/>
      <c r="O8" s="6"/>
    </row>
    <row r="9" spans="1:15" ht="25.5" customHeight="1">
      <c r="A9" s="75" t="s">
        <v>24</v>
      </c>
      <c r="B9" s="76"/>
      <c r="C9" s="77">
        <v>0.26300000000000001</v>
      </c>
      <c r="D9" s="78"/>
      <c r="E9" s="6"/>
      <c r="F9" s="75" t="s">
        <v>25</v>
      </c>
      <c r="G9" s="79"/>
      <c r="H9" s="82">
        <v>0.26</v>
      </c>
      <c r="I9" s="83"/>
      <c r="J9" s="6"/>
      <c r="K9" s="2" t="s">
        <v>26</v>
      </c>
      <c r="L9" s="12" t="s">
        <v>27</v>
      </c>
      <c r="M9" s="13" t="s">
        <v>28</v>
      </c>
      <c r="N9" s="41">
        <v>0</v>
      </c>
      <c r="O9" s="6"/>
    </row>
    <row r="10" spans="1:15" ht="25.5" customHeight="1">
      <c r="A10" s="75" t="s">
        <v>29</v>
      </c>
      <c r="B10" s="79"/>
      <c r="C10" s="84">
        <v>-0.3</v>
      </c>
      <c r="D10" s="85"/>
      <c r="E10" s="6"/>
      <c r="F10" s="75" t="s">
        <v>30</v>
      </c>
      <c r="G10" s="79"/>
      <c r="H10" s="86">
        <v>0.8</v>
      </c>
      <c r="I10" s="87"/>
      <c r="J10" s="6"/>
      <c r="K10" s="12"/>
      <c r="L10" s="2"/>
      <c r="M10" s="12" t="s">
        <v>31</v>
      </c>
      <c r="N10" s="41">
        <v>0</v>
      </c>
      <c r="O10" s="6"/>
    </row>
    <row r="11" spans="1:15" ht="25.5" customHeight="1">
      <c r="A11" s="75" t="s">
        <v>32</v>
      </c>
      <c r="B11" s="79"/>
      <c r="C11" s="88">
        <v>0.38</v>
      </c>
      <c r="D11" s="89"/>
      <c r="E11" s="6"/>
      <c r="F11" s="75" t="s">
        <v>33</v>
      </c>
      <c r="G11" s="79"/>
      <c r="H11" s="90">
        <v>3</v>
      </c>
      <c r="I11" s="91"/>
      <c r="J11" s="6"/>
      <c r="K11" s="20"/>
      <c r="L11" s="20"/>
      <c r="M11" s="20"/>
      <c r="N11" s="20"/>
      <c r="O11" s="6"/>
    </row>
    <row r="12" spans="1:15" ht="23.25" customHeight="1" thickBot="1">
      <c r="A12" s="55" t="s">
        <v>34</v>
      </c>
      <c r="B12" s="92"/>
      <c r="C12" s="92"/>
      <c r="D12" s="93"/>
      <c r="E12" s="6"/>
      <c r="F12" s="6"/>
      <c r="G12" s="6"/>
      <c r="H12" s="6"/>
      <c r="I12" s="6"/>
      <c r="J12" s="6"/>
      <c r="K12" s="52" t="s">
        <v>35</v>
      </c>
      <c r="L12" s="100"/>
      <c r="M12" s="97" t="s">
        <v>36</v>
      </c>
      <c r="N12" s="8"/>
      <c r="O12" s="6"/>
    </row>
    <row r="13" spans="1:15" ht="24" customHeight="1" thickBot="1">
      <c r="A13" s="94"/>
      <c r="B13" s="95"/>
      <c r="C13" s="95"/>
      <c r="D13" s="96"/>
      <c r="E13" s="6"/>
      <c r="F13" s="55" t="s">
        <v>37</v>
      </c>
      <c r="G13" s="56"/>
      <c r="H13" s="56"/>
      <c r="I13" s="57"/>
      <c r="J13" s="6"/>
      <c r="K13" s="101"/>
      <c r="L13" s="102"/>
      <c r="M13" s="98"/>
      <c r="N13" s="10" t="s">
        <v>38</v>
      </c>
      <c r="O13" s="9" t="s">
        <v>1</v>
      </c>
    </row>
    <row r="14" spans="1:15" ht="25.5" customHeight="1" thickBot="1">
      <c r="A14" s="71" t="s">
        <v>39</v>
      </c>
      <c r="B14" s="69"/>
      <c r="C14" s="70"/>
      <c r="D14" s="37"/>
      <c r="E14" s="6"/>
      <c r="F14" s="58"/>
      <c r="G14" s="59"/>
      <c r="H14" s="59"/>
      <c r="I14" s="60"/>
      <c r="J14" s="6"/>
      <c r="K14" s="71" t="s">
        <v>40</v>
      </c>
      <c r="L14" s="67"/>
      <c r="M14" s="42"/>
      <c r="N14" s="21"/>
      <c r="O14" s="11"/>
    </row>
    <row r="15" spans="1:15" ht="24.75" customHeight="1" thickBot="1">
      <c r="A15" s="71" t="s">
        <v>41</v>
      </c>
      <c r="B15" s="69"/>
      <c r="C15" s="70"/>
      <c r="D15" s="37"/>
      <c r="E15" s="6"/>
      <c r="F15" s="71" t="s">
        <v>42</v>
      </c>
      <c r="G15" s="99"/>
      <c r="H15" s="67"/>
      <c r="I15" s="36"/>
      <c r="J15" s="6"/>
      <c r="K15" s="71" t="s">
        <v>43</v>
      </c>
      <c r="L15" s="67"/>
      <c r="M15" s="43"/>
      <c r="N15" s="22" t="e">
        <f>M15/M14</f>
        <v>#DIV/0!</v>
      </c>
      <c r="O15" s="14"/>
    </row>
    <row r="16" spans="1:15" ht="20.25" customHeight="1" thickBot="1">
      <c r="A16" s="71" t="s">
        <v>44</v>
      </c>
      <c r="B16" s="69"/>
      <c r="C16" s="70"/>
      <c r="D16" s="37"/>
      <c r="E16" s="6"/>
      <c r="F16" s="71" t="s">
        <v>45</v>
      </c>
      <c r="G16" s="99"/>
      <c r="H16" s="67"/>
      <c r="I16" s="37"/>
      <c r="J16" s="6"/>
      <c r="K16" s="71" t="s">
        <v>46</v>
      </c>
      <c r="L16" s="67"/>
      <c r="M16" s="43"/>
      <c r="N16" s="22" t="e">
        <f>M16/M14</f>
        <v>#DIV/0!</v>
      </c>
      <c r="O16" s="6"/>
    </row>
    <row r="17" spans="1:16" ht="19.5" customHeight="1" thickBot="1">
      <c r="A17" s="71" t="s">
        <v>47</v>
      </c>
      <c r="B17" s="69"/>
      <c r="C17" s="70"/>
      <c r="D17" s="37"/>
      <c r="E17" s="6"/>
      <c r="F17" s="71" t="s">
        <v>48</v>
      </c>
      <c r="G17" s="99"/>
      <c r="H17" s="67"/>
      <c r="I17" s="37"/>
      <c r="J17" s="6"/>
      <c r="K17" s="71" t="s">
        <v>49</v>
      </c>
      <c r="L17" s="67"/>
      <c r="M17" s="43"/>
      <c r="N17" s="22" t="e">
        <f>M17/M14</f>
        <v>#DIV/0!</v>
      </c>
      <c r="O17" s="6"/>
    </row>
    <row r="18" spans="1:16" ht="21" customHeight="1" thickBot="1">
      <c r="A18" s="55" t="s">
        <v>50</v>
      </c>
      <c r="B18" s="103"/>
      <c r="C18" s="103"/>
      <c r="D18" s="104"/>
      <c r="E18" s="6"/>
      <c r="F18" s="71" t="s">
        <v>51</v>
      </c>
      <c r="G18" s="99"/>
      <c r="H18" s="67"/>
      <c r="I18" s="37"/>
      <c r="J18" s="6"/>
      <c r="K18" s="71" t="s">
        <v>52</v>
      </c>
      <c r="L18" s="67"/>
      <c r="M18" s="15"/>
      <c r="N18" s="23" t="e">
        <f>SUM(M15:M17)/M14</f>
        <v>#DIV/0!</v>
      </c>
      <c r="O18" s="6"/>
    </row>
    <row r="19" spans="1:16" ht="15.75" thickBot="1">
      <c r="A19" s="105"/>
      <c r="B19" s="106"/>
      <c r="C19" s="106"/>
      <c r="D19" s="107"/>
      <c r="E19" s="6"/>
      <c r="F19" s="71" t="s">
        <v>53</v>
      </c>
      <c r="G19" s="99"/>
      <c r="H19" s="67"/>
      <c r="I19" s="38"/>
      <c r="J19" s="6"/>
      <c r="K19" s="11"/>
      <c r="L19" s="6"/>
      <c r="M19" s="11"/>
      <c r="N19" s="24"/>
      <c r="O19" s="6"/>
    </row>
    <row r="20" spans="1:16" ht="26.25" customHeight="1" thickBot="1">
      <c r="A20" s="108" t="s">
        <v>54</v>
      </c>
      <c r="B20" s="109"/>
      <c r="C20" s="110"/>
      <c r="D20" s="111"/>
      <c r="E20" s="6"/>
      <c r="F20" s="71" t="s">
        <v>55</v>
      </c>
      <c r="G20" s="112"/>
      <c r="H20" s="72"/>
      <c r="I20" s="37"/>
      <c r="J20" s="6"/>
      <c r="K20" s="55" t="s">
        <v>56</v>
      </c>
      <c r="L20" s="113"/>
      <c r="M20" s="97" t="s">
        <v>57</v>
      </c>
      <c r="N20" s="25"/>
      <c r="O20" s="6"/>
    </row>
    <row r="21" spans="1:16" ht="20.25" customHeight="1">
      <c r="A21" s="108" t="s">
        <v>58</v>
      </c>
      <c r="B21" s="109"/>
      <c r="C21" s="110"/>
      <c r="D21" s="111"/>
      <c r="E21" s="6"/>
      <c r="F21" s="71" t="s">
        <v>59</v>
      </c>
      <c r="G21" s="112"/>
      <c r="H21" s="72"/>
      <c r="I21" s="37"/>
      <c r="J21" s="6"/>
      <c r="K21" s="114"/>
      <c r="L21" s="115"/>
      <c r="M21" s="98"/>
      <c r="N21" s="10" t="s">
        <v>38</v>
      </c>
      <c r="O21" s="6"/>
    </row>
    <row r="22" spans="1:16" ht="19.5" customHeight="1" thickBot="1">
      <c r="A22" s="108" t="s">
        <v>60</v>
      </c>
      <c r="B22" s="109"/>
      <c r="C22" s="110"/>
      <c r="D22" s="111"/>
      <c r="E22" s="6"/>
      <c r="F22" s="11" t="s">
        <v>1</v>
      </c>
      <c r="G22" s="11"/>
      <c r="H22" s="11"/>
      <c r="I22" s="26"/>
      <c r="J22" s="6"/>
      <c r="K22" s="116" t="s">
        <v>61</v>
      </c>
      <c r="L22" s="117"/>
      <c r="M22" s="27">
        <v>17</v>
      </c>
      <c r="N22" s="28"/>
      <c r="O22" s="6"/>
    </row>
    <row r="23" spans="1:16" ht="21.95" customHeight="1" thickBot="1">
      <c r="A23" s="52" t="s">
        <v>62</v>
      </c>
      <c r="B23" s="53"/>
      <c r="C23" s="118"/>
      <c r="D23" s="119"/>
      <c r="E23" s="6"/>
      <c r="F23" s="6"/>
      <c r="G23" s="29"/>
      <c r="H23" s="29"/>
      <c r="I23" s="29"/>
      <c r="J23" s="6"/>
      <c r="K23" s="71" t="s">
        <v>63</v>
      </c>
      <c r="L23" s="112"/>
      <c r="M23" s="27">
        <v>2</v>
      </c>
      <c r="N23" s="3">
        <f>M23/M$22</f>
        <v>0.11764705882352941</v>
      </c>
      <c r="O23" s="6"/>
    </row>
    <row r="24" spans="1:16" ht="21.95" customHeight="1" thickBot="1">
      <c r="A24" s="66" t="s">
        <v>64</v>
      </c>
      <c r="B24" s="67"/>
      <c r="C24" s="120"/>
      <c r="D24" s="121"/>
      <c r="E24" s="6"/>
      <c r="F24" s="29"/>
      <c r="G24" s="29"/>
      <c r="H24" s="29"/>
      <c r="I24" s="29"/>
      <c r="J24" s="6"/>
      <c r="K24" s="71" t="s">
        <v>65</v>
      </c>
      <c r="L24" s="112"/>
      <c r="M24" s="27">
        <v>0</v>
      </c>
      <c r="N24" s="3">
        <f t="shared" ref="N24:N27" si="0">M24/M$22</f>
        <v>0</v>
      </c>
      <c r="O24" s="6"/>
    </row>
    <row r="25" spans="1:16" ht="21.95" customHeight="1" thickBot="1">
      <c r="A25" s="66" t="s">
        <v>66</v>
      </c>
      <c r="B25" s="67"/>
      <c r="C25" s="120"/>
      <c r="D25" s="121"/>
      <c r="E25" s="6"/>
      <c r="F25" s="11"/>
      <c r="G25" s="19"/>
      <c r="H25" s="19"/>
      <c r="I25" s="6"/>
      <c r="J25" s="6"/>
      <c r="K25" s="71" t="s">
        <v>67</v>
      </c>
      <c r="L25" s="112"/>
      <c r="M25" s="12">
        <v>0</v>
      </c>
      <c r="N25" s="3">
        <f t="shared" si="0"/>
        <v>0</v>
      </c>
      <c r="O25" s="6"/>
    </row>
    <row r="26" spans="1:16" ht="21.95" customHeight="1" thickBot="1">
      <c r="A26" s="66" t="s">
        <v>68</v>
      </c>
      <c r="B26" s="67"/>
      <c r="C26" s="120"/>
      <c r="D26" s="121"/>
      <c r="E26" s="6"/>
      <c r="F26" s="11"/>
      <c r="G26" s="19"/>
      <c r="H26" s="19"/>
      <c r="I26" s="6"/>
      <c r="J26" s="6"/>
      <c r="K26" s="71" t="s">
        <v>69</v>
      </c>
      <c r="L26" s="112"/>
      <c r="M26" s="12">
        <v>0</v>
      </c>
      <c r="N26" s="3">
        <f t="shared" si="0"/>
        <v>0</v>
      </c>
      <c r="O26" s="6"/>
    </row>
    <row r="27" spans="1:16" ht="21.95" customHeight="1" thickBot="1">
      <c r="A27" s="66" t="s">
        <v>70</v>
      </c>
      <c r="B27" s="67"/>
      <c r="C27" s="120"/>
      <c r="D27" s="121"/>
      <c r="E27" s="6"/>
      <c r="F27" s="11"/>
      <c r="G27" s="19"/>
      <c r="H27" s="19"/>
      <c r="I27" s="6"/>
      <c r="J27" s="26"/>
      <c r="K27" s="71" t="s">
        <v>71</v>
      </c>
      <c r="L27" s="112"/>
      <c r="M27" s="12">
        <v>0</v>
      </c>
      <c r="N27" s="3">
        <f t="shared" si="0"/>
        <v>0</v>
      </c>
      <c r="O27" s="6"/>
    </row>
    <row r="28" spans="1:16" ht="21.95" customHeight="1" thickBot="1">
      <c r="A28" s="66" t="s">
        <v>72</v>
      </c>
      <c r="B28" s="67"/>
      <c r="C28" s="120"/>
      <c r="D28" s="121"/>
      <c r="E28" s="6"/>
      <c r="F28" s="11"/>
      <c r="G28" s="19"/>
      <c r="H28" s="19"/>
      <c r="I28" s="6"/>
      <c r="J28" s="26"/>
      <c r="K28" s="71" t="s">
        <v>73</v>
      </c>
      <c r="L28" s="112"/>
      <c r="M28" s="12"/>
      <c r="N28" s="3">
        <f>SUM(M23:M27)/M22</f>
        <v>0.11764705882352941</v>
      </c>
      <c r="O28" s="6"/>
    </row>
    <row r="29" spans="1:16">
      <c r="A29" s="6"/>
      <c r="B29" s="6"/>
      <c r="C29" s="6"/>
      <c r="D29" s="6"/>
      <c r="E29" s="6"/>
      <c r="F29" s="26"/>
      <c r="G29" s="26"/>
      <c r="H29" s="26"/>
      <c r="I29" s="26"/>
      <c r="J29" s="26"/>
      <c r="K29" s="6"/>
      <c r="L29" s="6"/>
      <c r="M29" s="6"/>
      <c r="N29" s="6"/>
      <c r="O29" s="30"/>
      <c r="P29" s="4"/>
    </row>
    <row r="30" spans="1:16" ht="15.75" thickBot="1">
      <c r="A30" s="7" t="s">
        <v>74</v>
      </c>
      <c r="B30" s="6"/>
      <c r="C30" s="6"/>
      <c r="D30" s="6"/>
      <c r="E30" s="6"/>
      <c r="F30" s="26"/>
      <c r="G30" s="26"/>
      <c r="H30" s="26"/>
      <c r="I30" s="26"/>
      <c r="J30" s="26"/>
      <c r="K30" s="26"/>
      <c r="L30" s="26"/>
      <c r="M30" s="26"/>
      <c r="N30" s="26"/>
      <c r="O30" s="30"/>
      <c r="P30" s="4"/>
    </row>
    <row r="31" spans="1:16">
      <c r="A31" s="141" t="s">
        <v>75</v>
      </c>
      <c r="B31" s="142"/>
      <c r="C31" s="142"/>
      <c r="D31" s="142"/>
      <c r="E31" s="142"/>
      <c r="F31" s="142"/>
      <c r="G31" s="142"/>
      <c r="H31" s="142"/>
      <c r="I31" s="142"/>
      <c r="J31" s="142"/>
      <c r="K31" s="142"/>
      <c r="L31" s="142"/>
      <c r="M31" s="142"/>
      <c r="N31" s="143"/>
      <c r="O31" s="30"/>
      <c r="P31" s="4"/>
    </row>
    <row r="32" spans="1:16">
      <c r="A32" s="144"/>
      <c r="B32" s="145"/>
      <c r="C32" s="145"/>
      <c r="D32" s="145"/>
      <c r="E32" s="145"/>
      <c r="F32" s="145"/>
      <c r="G32" s="145"/>
      <c r="H32" s="145"/>
      <c r="I32" s="145"/>
      <c r="J32" s="145"/>
      <c r="K32" s="145"/>
      <c r="L32" s="145"/>
      <c r="M32" s="145"/>
      <c r="N32" s="146"/>
      <c r="O32" s="30"/>
      <c r="P32" s="4"/>
    </row>
    <row r="33" spans="1:20">
      <c r="A33" s="144"/>
      <c r="B33" s="145"/>
      <c r="C33" s="145"/>
      <c r="D33" s="145"/>
      <c r="E33" s="145"/>
      <c r="F33" s="145"/>
      <c r="G33" s="145"/>
      <c r="H33" s="145"/>
      <c r="I33" s="145"/>
      <c r="J33" s="145"/>
      <c r="K33" s="145"/>
      <c r="L33" s="145"/>
      <c r="M33" s="145"/>
      <c r="N33" s="146"/>
      <c r="O33" s="30"/>
      <c r="P33" s="4"/>
    </row>
    <row r="34" spans="1:20" ht="15" customHeight="1">
      <c r="A34" s="144"/>
      <c r="B34" s="145"/>
      <c r="C34" s="145"/>
      <c r="D34" s="145"/>
      <c r="E34" s="145"/>
      <c r="F34" s="145"/>
      <c r="G34" s="145"/>
      <c r="H34" s="145"/>
      <c r="I34" s="145"/>
      <c r="J34" s="145"/>
      <c r="K34" s="145"/>
      <c r="L34" s="145"/>
      <c r="M34" s="145"/>
      <c r="N34" s="146"/>
      <c r="O34" s="30"/>
      <c r="P34" s="4"/>
    </row>
    <row r="35" spans="1:20">
      <c r="A35" s="144"/>
      <c r="B35" s="145"/>
      <c r="C35" s="145"/>
      <c r="D35" s="145"/>
      <c r="E35" s="145"/>
      <c r="F35" s="145"/>
      <c r="G35" s="145"/>
      <c r="H35" s="145"/>
      <c r="I35" s="145"/>
      <c r="J35" s="145"/>
      <c r="K35" s="145"/>
      <c r="L35" s="145"/>
      <c r="M35" s="145"/>
      <c r="N35" s="146"/>
      <c r="O35" s="6"/>
    </row>
    <row r="36" spans="1:20">
      <c r="A36" s="144"/>
      <c r="B36" s="145"/>
      <c r="C36" s="145"/>
      <c r="D36" s="145"/>
      <c r="E36" s="145"/>
      <c r="F36" s="145"/>
      <c r="G36" s="145"/>
      <c r="H36" s="145"/>
      <c r="I36" s="145"/>
      <c r="J36" s="145"/>
      <c r="K36" s="145"/>
      <c r="L36" s="145"/>
      <c r="M36" s="145"/>
      <c r="N36" s="146"/>
      <c r="O36" s="6"/>
    </row>
    <row r="37" spans="1:20" ht="195.75" customHeight="1">
      <c r="A37" s="147"/>
      <c r="B37" s="148"/>
      <c r="C37" s="148"/>
      <c r="D37" s="148"/>
      <c r="E37" s="148"/>
      <c r="F37" s="148"/>
      <c r="G37" s="148"/>
      <c r="H37" s="148"/>
      <c r="I37" s="148"/>
      <c r="J37" s="148"/>
      <c r="K37" s="148"/>
      <c r="L37" s="148"/>
      <c r="M37" s="148"/>
      <c r="N37" s="149"/>
      <c r="O37" s="6"/>
    </row>
    <row r="38" spans="1:20">
      <c r="A38" s="31"/>
      <c r="B38" s="6"/>
      <c r="C38" s="6"/>
      <c r="D38" s="6"/>
      <c r="E38" s="6"/>
      <c r="F38" s="6"/>
      <c r="G38" s="6"/>
      <c r="H38" s="6"/>
      <c r="I38" s="6"/>
      <c r="J38" s="6"/>
      <c r="K38" s="6"/>
      <c r="L38" s="6"/>
      <c r="M38" s="6"/>
      <c r="N38" s="6"/>
      <c r="O38" s="6"/>
    </row>
    <row r="39" spans="1:20" ht="19.5" thickBot="1">
      <c r="A39" s="32" t="s">
        <v>76</v>
      </c>
      <c r="B39" s="6"/>
      <c r="C39" s="6"/>
      <c r="D39" s="6"/>
      <c r="E39" s="6"/>
      <c r="F39" s="6"/>
      <c r="G39" s="6"/>
      <c r="H39" s="6"/>
      <c r="I39" s="6"/>
      <c r="J39" s="6"/>
      <c r="K39" s="6"/>
      <c r="L39" s="6"/>
      <c r="M39" s="6"/>
      <c r="N39" s="6"/>
      <c r="O39" s="6"/>
    </row>
    <row r="40" spans="1:20" ht="15" customHeight="1">
      <c r="A40" s="137">
        <v>1</v>
      </c>
      <c r="B40" s="52" t="s">
        <v>77</v>
      </c>
      <c r="C40" s="47"/>
      <c r="D40" s="140" t="s">
        <v>78</v>
      </c>
      <c r="E40" s="125"/>
      <c r="F40" s="125"/>
      <c r="G40" s="125"/>
      <c r="H40" s="125"/>
      <c r="I40" s="125"/>
      <c r="J40" s="125"/>
      <c r="K40" s="125"/>
      <c r="L40" s="125"/>
      <c r="M40" s="125"/>
      <c r="N40" s="126"/>
      <c r="O40" s="30"/>
      <c r="P40" s="4"/>
      <c r="Q40" s="4"/>
      <c r="R40" s="4"/>
      <c r="S40" s="4"/>
      <c r="T40" s="4"/>
    </row>
    <row r="41" spans="1:20" ht="15.75" customHeight="1" thickBot="1">
      <c r="A41" s="138"/>
      <c r="B41" s="49"/>
      <c r="C41" s="50"/>
      <c r="D41" s="130"/>
      <c r="E41" s="131"/>
      <c r="F41" s="131"/>
      <c r="G41" s="131"/>
      <c r="H41" s="131"/>
      <c r="I41" s="131"/>
      <c r="J41" s="131"/>
      <c r="K41" s="131"/>
      <c r="L41" s="131"/>
      <c r="M41" s="131"/>
      <c r="N41" s="132"/>
      <c r="O41" s="30"/>
      <c r="P41" s="4"/>
      <c r="Q41" s="4"/>
      <c r="R41" s="4"/>
      <c r="S41" s="4"/>
      <c r="T41" s="4"/>
    </row>
    <row r="42" spans="1:20" ht="15" customHeight="1">
      <c r="A42" s="138"/>
      <c r="B42" s="55" t="s">
        <v>79</v>
      </c>
      <c r="C42" s="113"/>
      <c r="D42" s="124" t="s">
        <v>80</v>
      </c>
      <c r="E42" s="125"/>
      <c r="F42" s="125"/>
      <c r="G42" s="125"/>
      <c r="H42" s="125"/>
      <c r="I42" s="125"/>
      <c r="J42" s="125"/>
      <c r="K42" s="125"/>
      <c r="L42" s="125"/>
      <c r="M42" s="125"/>
      <c r="N42" s="126"/>
      <c r="O42" s="30"/>
      <c r="P42" s="4"/>
      <c r="Q42" s="4"/>
      <c r="R42" s="4"/>
      <c r="S42" s="4"/>
      <c r="T42" s="4"/>
    </row>
    <row r="43" spans="1:20">
      <c r="A43" s="138"/>
      <c r="B43" s="122"/>
      <c r="C43" s="123"/>
      <c r="D43" s="127"/>
      <c r="E43" s="128"/>
      <c r="F43" s="128"/>
      <c r="G43" s="128"/>
      <c r="H43" s="128"/>
      <c r="I43" s="128"/>
      <c r="J43" s="128"/>
      <c r="K43" s="128"/>
      <c r="L43" s="128"/>
      <c r="M43" s="128"/>
      <c r="N43" s="129"/>
      <c r="O43" s="30"/>
      <c r="P43" s="4"/>
      <c r="Q43" s="4"/>
      <c r="R43" s="4"/>
      <c r="S43" s="4"/>
      <c r="T43" s="4"/>
    </row>
    <row r="44" spans="1:20" ht="77.25" customHeight="1" thickBot="1">
      <c r="A44" s="139"/>
      <c r="B44" s="114"/>
      <c r="C44" s="115"/>
      <c r="D44" s="130"/>
      <c r="E44" s="131"/>
      <c r="F44" s="131"/>
      <c r="G44" s="131"/>
      <c r="H44" s="131"/>
      <c r="I44" s="131"/>
      <c r="J44" s="131"/>
      <c r="K44" s="131"/>
      <c r="L44" s="131"/>
      <c r="M44" s="131"/>
      <c r="N44" s="132"/>
      <c r="O44" s="30"/>
      <c r="P44" s="4"/>
      <c r="Q44" s="4"/>
      <c r="R44" s="4"/>
      <c r="S44" s="4"/>
      <c r="T44" s="4"/>
    </row>
    <row r="45" spans="1:20" ht="15.75" thickBot="1">
      <c r="A45" s="6"/>
      <c r="B45" s="6"/>
      <c r="C45" s="6"/>
      <c r="D45" s="30"/>
      <c r="E45" s="30"/>
      <c r="F45" s="30"/>
      <c r="G45" s="30"/>
      <c r="H45" s="30"/>
      <c r="I45" s="30"/>
      <c r="J45" s="30"/>
      <c r="K45" s="30"/>
      <c r="L45" s="30"/>
      <c r="M45" s="30"/>
      <c r="N45" s="30"/>
      <c r="O45" s="30"/>
      <c r="P45" s="4"/>
      <c r="Q45" s="4"/>
      <c r="R45" s="4"/>
      <c r="S45" s="4"/>
      <c r="T45" s="4"/>
    </row>
    <row r="46" spans="1:20" ht="15" customHeight="1">
      <c r="A46" s="137">
        <v>2</v>
      </c>
      <c r="B46" s="52" t="s">
        <v>77</v>
      </c>
      <c r="C46" s="47"/>
      <c r="D46" s="140" t="s">
        <v>81</v>
      </c>
      <c r="E46" s="125"/>
      <c r="F46" s="125"/>
      <c r="G46" s="125"/>
      <c r="H46" s="125"/>
      <c r="I46" s="125"/>
      <c r="J46" s="125"/>
      <c r="K46" s="125"/>
      <c r="L46" s="125"/>
      <c r="M46" s="125"/>
      <c r="N46" s="126"/>
      <c r="O46" s="30"/>
      <c r="P46" s="4"/>
      <c r="Q46" s="4"/>
      <c r="R46" s="4"/>
      <c r="S46" s="4"/>
      <c r="T46" s="4"/>
    </row>
    <row r="47" spans="1:20" ht="15.75" customHeight="1" thickBot="1">
      <c r="A47" s="138"/>
      <c r="B47" s="49"/>
      <c r="C47" s="50"/>
      <c r="D47" s="130"/>
      <c r="E47" s="131"/>
      <c r="F47" s="131"/>
      <c r="G47" s="131"/>
      <c r="H47" s="131"/>
      <c r="I47" s="131"/>
      <c r="J47" s="131"/>
      <c r="K47" s="131"/>
      <c r="L47" s="131"/>
      <c r="M47" s="131"/>
      <c r="N47" s="132"/>
      <c r="O47" s="30"/>
      <c r="P47" s="4"/>
      <c r="Q47" s="4"/>
      <c r="R47" s="4"/>
      <c r="S47" s="4"/>
      <c r="T47" s="4"/>
    </row>
    <row r="48" spans="1:20" ht="15" customHeight="1">
      <c r="A48" s="138"/>
      <c r="B48" s="55" t="s">
        <v>79</v>
      </c>
      <c r="C48" s="113"/>
      <c r="D48" s="124" t="s">
        <v>82</v>
      </c>
      <c r="E48" s="125"/>
      <c r="F48" s="125"/>
      <c r="G48" s="125"/>
      <c r="H48" s="125"/>
      <c r="I48" s="125"/>
      <c r="J48" s="125"/>
      <c r="K48" s="125"/>
      <c r="L48" s="125"/>
      <c r="M48" s="125"/>
      <c r="N48" s="126"/>
      <c r="O48" s="30"/>
      <c r="P48" s="4"/>
      <c r="Q48" s="4"/>
      <c r="R48" s="4"/>
      <c r="S48" s="4"/>
      <c r="T48" s="4"/>
    </row>
    <row r="49" spans="1:20">
      <c r="A49" s="138"/>
      <c r="B49" s="122"/>
      <c r="C49" s="123"/>
      <c r="D49" s="127"/>
      <c r="E49" s="128"/>
      <c r="F49" s="128"/>
      <c r="G49" s="128"/>
      <c r="H49" s="128"/>
      <c r="I49" s="128"/>
      <c r="J49" s="128"/>
      <c r="K49" s="128"/>
      <c r="L49" s="128"/>
      <c r="M49" s="128"/>
      <c r="N49" s="129"/>
      <c r="O49" s="30"/>
      <c r="P49" s="4"/>
      <c r="Q49" s="4"/>
      <c r="R49" s="4"/>
      <c r="S49" s="4"/>
      <c r="T49" s="4"/>
    </row>
    <row r="50" spans="1:20" ht="33.75" customHeight="1" thickBot="1">
      <c r="A50" s="139"/>
      <c r="B50" s="114"/>
      <c r="C50" s="115"/>
      <c r="D50" s="130"/>
      <c r="E50" s="131"/>
      <c r="F50" s="131"/>
      <c r="G50" s="131"/>
      <c r="H50" s="131"/>
      <c r="I50" s="131"/>
      <c r="J50" s="131"/>
      <c r="K50" s="131"/>
      <c r="L50" s="131"/>
      <c r="M50" s="131"/>
      <c r="N50" s="132"/>
      <c r="O50" s="30"/>
      <c r="P50" s="4"/>
      <c r="Q50" s="4"/>
      <c r="R50" s="4"/>
      <c r="S50" s="4"/>
      <c r="T50" s="4"/>
    </row>
    <row r="51" spans="1:20">
      <c r="A51" s="6"/>
      <c r="B51" s="6"/>
      <c r="C51" s="6"/>
      <c r="D51" s="30"/>
      <c r="E51" s="30"/>
      <c r="F51" s="30"/>
      <c r="G51" s="30"/>
      <c r="H51" s="30"/>
      <c r="I51" s="30"/>
      <c r="J51" s="30"/>
      <c r="K51" s="30"/>
      <c r="L51" s="30"/>
      <c r="M51" s="30"/>
      <c r="N51" s="30"/>
      <c r="O51" s="30"/>
      <c r="P51" s="4"/>
      <c r="Q51" s="4"/>
      <c r="R51" s="4"/>
      <c r="S51" s="4"/>
      <c r="T51" s="4"/>
    </row>
    <row r="52" spans="1:20" ht="15" customHeight="1">
      <c r="A52" s="137">
        <v>3</v>
      </c>
      <c r="B52" s="52" t="s">
        <v>77</v>
      </c>
      <c r="C52" s="47"/>
      <c r="D52" s="140" t="s">
        <v>83</v>
      </c>
      <c r="E52" s="125"/>
      <c r="F52" s="125"/>
      <c r="G52" s="125"/>
      <c r="H52" s="125"/>
      <c r="I52" s="125"/>
      <c r="J52" s="125"/>
      <c r="K52" s="125"/>
      <c r="L52" s="125"/>
      <c r="M52" s="125"/>
      <c r="N52" s="126"/>
      <c r="O52" s="30"/>
      <c r="P52" s="4"/>
      <c r="Q52" s="4"/>
      <c r="R52" s="4"/>
      <c r="S52" s="4"/>
      <c r="T52" s="4"/>
    </row>
    <row r="53" spans="1:20" ht="15.75" customHeight="1">
      <c r="A53" s="138"/>
      <c r="B53" s="49"/>
      <c r="C53" s="50"/>
      <c r="D53" s="130"/>
      <c r="E53" s="131"/>
      <c r="F53" s="131"/>
      <c r="G53" s="131"/>
      <c r="H53" s="131"/>
      <c r="I53" s="131"/>
      <c r="J53" s="131"/>
      <c r="K53" s="131"/>
      <c r="L53" s="131"/>
      <c r="M53" s="131"/>
      <c r="N53" s="132"/>
      <c r="O53" s="30"/>
      <c r="P53" s="4"/>
      <c r="Q53" s="4"/>
      <c r="R53" s="4"/>
      <c r="S53" s="4"/>
      <c r="T53" s="4"/>
    </row>
    <row r="54" spans="1:20" ht="15" customHeight="1">
      <c r="A54" s="138"/>
      <c r="B54" s="55" t="s">
        <v>79</v>
      </c>
      <c r="C54" s="113"/>
      <c r="D54" s="124" t="s">
        <v>84</v>
      </c>
      <c r="E54" s="125"/>
      <c r="F54" s="125"/>
      <c r="G54" s="125"/>
      <c r="H54" s="125"/>
      <c r="I54" s="125"/>
      <c r="J54" s="125"/>
      <c r="K54" s="125"/>
      <c r="L54" s="125"/>
      <c r="M54" s="125"/>
      <c r="N54" s="126"/>
      <c r="O54" s="30"/>
      <c r="P54" s="4"/>
      <c r="Q54" s="4"/>
      <c r="R54" s="4"/>
      <c r="S54" s="4"/>
      <c r="T54" s="4"/>
    </row>
    <row r="55" spans="1:20">
      <c r="A55" s="138"/>
      <c r="B55" s="122"/>
      <c r="C55" s="123"/>
      <c r="D55" s="127"/>
      <c r="E55" s="128"/>
      <c r="F55" s="128"/>
      <c r="G55" s="128"/>
      <c r="H55" s="128"/>
      <c r="I55" s="128"/>
      <c r="J55" s="128"/>
      <c r="K55" s="128"/>
      <c r="L55" s="128"/>
      <c r="M55" s="128"/>
      <c r="N55" s="129"/>
      <c r="O55" s="30"/>
      <c r="P55" s="4"/>
      <c r="Q55" s="4"/>
      <c r="R55" s="4"/>
      <c r="S55" s="4"/>
      <c r="T55" s="4"/>
    </row>
    <row r="56" spans="1:20" ht="68.25" customHeight="1" thickBot="1">
      <c r="A56" s="139"/>
      <c r="B56" s="114"/>
      <c r="C56" s="115"/>
      <c r="D56" s="130"/>
      <c r="E56" s="131"/>
      <c r="F56" s="131"/>
      <c r="G56" s="131"/>
      <c r="H56" s="131"/>
      <c r="I56" s="131"/>
      <c r="J56" s="131"/>
      <c r="K56" s="131"/>
      <c r="L56" s="131"/>
      <c r="M56" s="131"/>
      <c r="N56" s="132"/>
      <c r="O56" s="30"/>
      <c r="P56" s="4"/>
      <c r="Q56" s="4"/>
      <c r="R56" s="4"/>
      <c r="S56" s="4"/>
      <c r="T56" s="4"/>
    </row>
    <row r="57" spans="1:20">
      <c r="A57" s="6"/>
      <c r="B57" s="6"/>
      <c r="C57" s="6"/>
      <c r="D57" s="6"/>
      <c r="E57" s="6"/>
      <c r="F57" s="6"/>
      <c r="G57" s="6"/>
      <c r="H57" s="6"/>
      <c r="I57" s="6"/>
      <c r="J57" s="6"/>
      <c r="K57" s="6"/>
      <c r="L57" s="6"/>
      <c r="M57" s="6"/>
      <c r="N57" s="6"/>
      <c r="O57" s="6"/>
    </row>
    <row r="58" spans="1:20">
      <c r="A58" s="133"/>
      <c r="B58" s="133"/>
      <c r="C58" s="133"/>
      <c r="D58" s="6"/>
      <c r="E58" s="6"/>
      <c r="F58" s="6"/>
      <c r="G58" s="6"/>
      <c r="H58" s="6"/>
      <c r="I58" s="6"/>
      <c r="J58" s="6"/>
      <c r="K58" s="6"/>
      <c r="L58" s="6"/>
      <c r="M58" s="6"/>
      <c r="N58" s="6"/>
      <c r="O58" s="6"/>
    </row>
    <row r="59" spans="1:20">
      <c r="A59" s="6"/>
      <c r="B59" s="6"/>
      <c r="C59" s="6"/>
      <c r="D59" s="6"/>
      <c r="E59" s="6"/>
      <c r="F59" s="6"/>
      <c r="G59" s="6"/>
      <c r="H59" s="6"/>
      <c r="I59" s="6"/>
      <c r="J59" s="6"/>
      <c r="K59" s="6"/>
      <c r="L59" s="6"/>
      <c r="M59" s="6"/>
      <c r="N59" s="6"/>
      <c r="O59" s="6"/>
    </row>
    <row r="60" spans="1:20">
      <c r="A60" s="30"/>
      <c r="B60" s="30"/>
      <c r="C60" s="30"/>
      <c r="D60" s="30"/>
      <c r="E60" s="30"/>
      <c r="F60" s="30"/>
      <c r="G60" s="30"/>
      <c r="H60" s="30"/>
      <c r="I60" s="30"/>
      <c r="J60" s="30"/>
      <c r="K60" s="30"/>
      <c r="L60" s="30"/>
      <c r="M60" s="30"/>
      <c r="N60" s="30"/>
      <c r="O60" s="30"/>
      <c r="P60" s="4"/>
      <c r="Q60" s="4"/>
      <c r="R60" s="4"/>
      <c r="S60" s="4"/>
      <c r="T60" s="4"/>
    </row>
    <row r="61" spans="1:20">
      <c r="A61" s="4"/>
      <c r="B61" s="4"/>
      <c r="C61" s="4"/>
      <c r="D61" s="4"/>
      <c r="E61" s="4"/>
      <c r="F61" s="4"/>
      <c r="G61" s="4"/>
      <c r="H61" s="4"/>
      <c r="I61" s="4"/>
      <c r="J61" s="4"/>
      <c r="K61" s="4"/>
      <c r="L61" s="4"/>
      <c r="M61" s="4"/>
      <c r="N61" s="4"/>
      <c r="O61" s="4"/>
      <c r="P61" s="4"/>
      <c r="Q61" s="4"/>
      <c r="R61" s="4"/>
      <c r="S61" s="4"/>
      <c r="T61" s="4"/>
    </row>
    <row r="62" spans="1:20">
      <c r="A62" s="4"/>
      <c r="B62" s="4"/>
      <c r="C62" s="4"/>
      <c r="D62" s="4"/>
      <c r="E62" s="4"/>
      <c r="F62" s="4"/>
      <c r="G62" s="4"/>
      <c r="H62" s="4"/>
      <c r="I62" s="4"/>
      <c r="J62" s="4"/>
      <c r="K62" s="4"/>
      <c r="L62" s="4"/>
      <c r="M62" s="4"/>
      <c r="N62" s="4"/>
      <c r="O62" s="4"/>
      <c r="P62" s="4"/>
      <c r="Q62" s="4"/>
      <c r="R62" s="4"/>
      <c r="S62" s="4"/>
      <c r="T62" s="4"/>
    </row>
    <row r="63" spans="1:20">
      <c r="A63" s="4"/>
      <c r="B63" s="4"/>
      <c r="C63" s="4"/>
      <c r="D63" s="4"/>
      <c r="E63" s="4"/>
      <c r="F63" s="4"/>
      <c r="G63" s="4"/>
      <c r="H63" s="4"/>
      <c r="I63" s="4"/>
      <c r="J63" s="4"/>
      <c r="K63" s="4"/>
      <c r="L63" s="4"/>
      <c r="M63" s="4"/>
      <c r="N63" s="4"/>
      <c r="O63" s="4"/>
      <c r="P63" s="4"/>
      <c r="Q63" s="4"/>
      <c r="R63" s="4"/>
      <c r="S63" s="4"/>
      <c r="T63" s="4"/>
    </row>
    <row r="64" spans="1:20">
      <c r="A64" s="4"/>
      <c r="B64" s="4"/>
      <c r="C64" s="4"/>
      <c r="D64" s="4"/>
      <c r="E64" s="4"/>
      <c r="F64" s="4"/>
      <c r="G64" s="4"/>
      <c r="H64" s="4"/>
      <c r="I64" s="4"/>
      <c r="J64" s="4"/>
      <c r="K64" s="4"/>
      <c r="L64" s="4"/>
      <c r="M64" s="4"/>
      <c r="N64" s="4"/>
      <c r="O64" s="4"/>
      <c r="P64" s="4"/>
      <c r="Q64" s="4"/>
      <c r="R64" s="4"/>
      <c r="S64" s="4"/>
      <c r="T64" s="4"/>
    </row>
    <row r="65" spans="1:20">
      <c r="A65" s="4"/>
      <c r="B65" s="4"/>
      <c r="C65" s="4"/>
      <c r="D65" s="4"/>
      <c r="E65" s="4"/>
      <c r="F65" s="4"/>
      <c r="G65" s="4"/>
      <c r="H65" s="4"/>
      <c r="I65" s="4"/>
      <c r="J65" s="4"/>
      <c r="K65" s="4"/>
      <c r="L65" s="4"/>
      <c r="M65" s="4"/>
      <c r="N65" s="4"/>
      <c r="O65" s="4"/>
      <c r="P65" s="4"/>
      <c r="Q65" s="4"/>
      <c r="R65" s="4"/>
      <c r="S65" s="4"/>
      <c r="T65" s="4"/>
    </row>
    <row r="66" spans="1:20">
      <c r="A66" s="4"/>
      <c r="B66" s="4"/>
      <c r="C66" s="4"/>
      <c r="D66" s="4"/>
      <c r="E66" s="4"/>
      <c r="F66" s="4"/>
      <c r="G66" s="4"/>
      <c r="H66" s="4"/>
      <c r="I66" s="4"/>
      <c r="J66" s="4"/>
      <c r="K66" s="4"/>
      <c r="L66" s="4"/>
      <c r="M66" s="4"/>
      <c r="N66" s="4"/>
      <c r="O66" s="4"/>
      <c r="P66" s="4"/>
      <c r="Q66" s="4"/>
      <c r="R66" s="4"/>
      <c r="S66" s="4"/>
      <c r="T66" s="4"/>
    </row>
    <row r="67" spans="1:20">
      <c r="A67" s="4"/>
      <c r="B67" s="4"/>
      <c r="C67" s="4"/>
      <c r="D67" s="4"/>
      <c r="E67" s="4"/>
      <c r="F67" s="4"/>
      <c r="G67" s="4"/>
      <c r="H67" s="4"/>
      <c r="I67" s="4"/>
      <c r="J67" s="4"/>
      <c r="K67" s="4"/>
      <c r="L67" s="4"/>
      <c r="M67" s="4"/>
      <c r="N67" s="4"/>
      <c r="O67" s="4"/>
      <c r="P67" s="4"/>
      <c r="Q67" s="4"/>
      <c r="R67" s="4"/>
      <c r="S67" s="4"/>
      <c r="T67" s="4"/>
    </row>
    <row r="68" spans="1:20">
      <c r="A68" s="4"/>
      <c r="B68" s="4"/>
      <c r="C68" s="4"/>
      <c r="D68" s="4"/>
      <c r="E68" s="4"/>
      <c r="F68" s="4"/>
      <c r="G68" s="4"/>
      <c r="H68" s="4"/>
      <c r="I68" s="4"/>
      <c r="J68" s="4"/>
      <c r="K68" s="4"/>
      <c r="L68" s="4"/>
      <c r="M68" s="4"/>
      <c r="N68" s="4"/>
      <c r="O68" s="4"/>
      <c r="P68" s="4"/>
      <c r="Q68" s="4"/>
      <c r="R68" s="4"/>
      <c r="S68" s="4"/>
      <c r="T68" s="4"/>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Corley</dc:creator>
  <cp:keywords/>
  <dc:description/>
  <cp:lastModifiedBy/>
  <cp:revision/>
  <dcterms:created xsi:type="dcterms:W3CDTF">2024-11-15T16:32:19Z</dcterms:created>
  <dcterms:modified xsi:type="dcterms:W3CDTF">2026-04-14T00:08:33Z</dcterms:modified>
  <cp:category/>
  <cp:contentStatus/>
</cp:coreProperties>
</file>