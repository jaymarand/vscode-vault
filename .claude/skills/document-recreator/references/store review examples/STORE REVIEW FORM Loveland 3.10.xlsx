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asoncole\Downloads\"/>
    </mc:Choice>
  </mc:AlternateContent>
  <xr:revisionPtr revIDLastSave="0" documentId="8_{A9345259-E0A0-4BEC-826C-46F08EA563DE}" xr6:coauthVersionLast="47" xr6:coauthVersionMax="47" xr10:uidLastSave="{00000000-0000-0000-0000-000000000000}"/>
  <bookViews>
    <workbookView xWindow="-108" yWindow="-108" windowWidth="23256" windowHeight="13896" xr2:uid="{FDFDB9D3-9731-4906-95BB-D332DBEB879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8" i="1" l="1"/>
  <c r="N27" i="1"/>
  <c r="N26" i="1"/>
  <c r="N25" i="1"/>
  <c r="N24" i="1"/>
  <c r="N23" i="1"/>
  <c r="N18" i="1"/>
  <c r="N17" i="1"/>
  <c r="N16" i="1"/>
  <c r="N15" i="1"/>
</calcChain>
</file>

<file path=xl/sharedStrings.xml><?xml version="1.0" encoding="utf-8"?>
<sst xmlns="http://schemas.openxmlformats.org/spreadsheetml/2006/main" count="113" uniqueCount="87">
  <si>
    <t>STORE REVIEW</t>
  </si>
  <si>
    <t xml:space="preserve"> </t>
  </si>
  <si>
    <t xml:space="preserve">Store </t>
  </si>
  <si>
    <t>Loveland</t>
  </si>
  <si>
    <t>Training</t>
  </si>
  <si>
    <t>General Metrics</t>
  </si>
  <si>
    <t xml:space="preserve">Date </t>
  </si>
  <si>
    <t>New Hires Met</t>
  </si>
  <si>
    <t>Number of Hrly Employees Had 5 min Conversation With</t>
  </si>
  <si>
    <t># Rolling Racks Checked</t>
  </si>
  <si>
    <t>Date Previous Evaluation</t>
  </si>
  <si>
    <t xml:space="preserve">Number of New Hires </t>
  </si>
  <si>
    <t>Verifed Huddles                   Complete or Incomplete</t>
  </si>
  <si>
    <t>No</t>
  </si>
  <si>
    <t># Rolling Rack Items Sent Back</t>
  </si>
  <si>
    <t>Hang Count Variance</t>
  </si>
  <si>
    <t>Ecommerce % +/- to Budget</t>
  </si>
  <si>
    <t>Tote Count Variance</t>
  </si>
  <si>
    <t>Rev % +/- to Budget</t>
  </si>
  <si>
    <t>Average Transaction +/- to LY</t>
  </si>
  <si>
    <t>Number of Ecommerce totes sent MTD</t>
  </si>
  <si>
    <t>Rev % +/- to LY</t>
  </si>
  <si>
    <t>Labor % to Budget</t>
  </si>
  <si>
    <t>Is Truck Loaded Correctly</t>
  </si>
  <si>
    <t>yes</t>
  </si>
  <si>
    <t># Totes Checked</t>
  </si>
  <si>
    <t>Donation Growth % to LY</t>
  </si>
  <si>
    <t>Annualized Employee Turnover</t>
  </si>
  <si>
    <t># Tote Items Sent Back</t>
  </si>
  <si>
    <t>30 Day Sell Through %</t>
  </si>
  <si>
    <t># of Open Positions</t>
  </si>
  <si>
    <r>
      <rPr>
        <b/>
        <sz val="11"/>
        <color rgb="FF000000"/>
        <rFont val="Aptos Narrow"/>
        <scheme val="minor"/>
      </rPr>
      <t xml:space="preserve">Merchandising                                       </t>
    </r>
    <r>
      <rPr>
        <b/>
        <sz val="11"/>
        <color rgb="FFFF0000"/>
        <rFont val="Aptos Narrow"/>
        <scheme val="minor"/>
      </rPr>
      <t>Enter Yes or No</t>
    </r>
  </si>
  <si>
    <t>Error Rate Check Racks</t>
  </si>
  <si>
    <t>Enter # (check a minimum of 4 racks)</t>
  </si>
  <si>
    <r>
      <rPr>
        <b/>
        <sz val="11"/>
        <color rgb="FF000000"/>
        <rFont val="Aptos Narrow"/>
        <scheme val="minor"/>
      </rPr>
      <t>Pull/Rotation Validation                                Enter</t>
    </r>
    <r>
      <rPr>
        <b/>
        <sz val="11"/>
        <color rgb="FFFF0000"/>
        <rFont val="Aptos Narrow"/>
        <scheme val="minor"/>
      </rPr>
      <t xml:space="preserve"> Yes or No</t>
    </r>
  </si>
  <si>
    <t>% Auto Calc</t>
  </si>
  <si>
    <t>Wares Shelves Full &amp; Presented Well</t>
  </si>
  <si>
    <t>Total # of Items Checked</t>
  </si>
  <si>
    <t>Racks Full (70 - 80 items per 5 ft)</t>
  </si>
  <si>
    <t>Women's Rack</t>
  </si>
  <si>
    <t>YES</t>
  </si>
  <si>
    <t># Wrong Price</t>
  </si>
  <si>
    <t>Shoe Racks Full</t>
  </si>
  <si>
    <t>Men's Rack</t>
  </si>
  <si>
    <t>Yes</t>
  </si>
  <si>
    <t># Defective</t>
  </si>
  <si>
    <t>End Caps Full &amp; Presented Well</t>
  </si>
  <si>
    <t>NO</t>
  </si>
  <si>
    <t>Kid's Rack</t>
  </si>
  <si>
    <t># Wrong Category/Size</t>
  </si>
  <si>
    <r>
      <rPr>
        <b/>
        <sz val="11"/>
        <color rgb="FF000000"/>
        <rFont val="Aptos Narrow"/>
        <scheme val="minor"/>
      </rPr>
      <t xml:space="preserve">Store Cleanliness                            </t>
    </r>
    <r>
      <rPr>
        <b/>
        <sz val="11"/>
        <color rgb="FFFF0000"/>
        <rFont val="Aptos Narrow"/>
        <scheme val="minor"/>
      </rPr>
      <t xml:space="preserve">      Enter Yes or No</t>
    </r>
  </si>
  <si>
    <t>Wares</t>
  </si>
  <si>
    <t xml:space="preserve"> Total Error Rate Rack</t>
  </si>
  <si>
    <t>Shoes</t>
  </si>
  <si>
    <t>Parking Lot</t>
  </si>
  <si>
    <t>Books</t>
  </si>
  <si>
    <t>Error Rate Check Container Labels</t>
  </si>
  <si>
    <t>Enter # (all accessible visible containers)</t>
  </si>
  <si>
    <t>Donation Area</t>
  </si>
  <si>
    <t>E&amp;M</t>
  </si>
  <si>
    <t>Windows / Entry</t>
  </si>
  <si>
    <t>Total # Containers Checked</t>
  </si>
  <si>
    <t>Cash Wraps</t>
  </si>
  <si>
    <t>Not Labeled</t>
  </si>
  <si>
    <t>Floor / Racks</t>
  </si>
  <si>
    <t>Labeled as Salvage but is Raw</t>
  </si>
  <si>
    <t>Wares / Shelves</t>
  </si>
  <si>
    <t>Labeled as Raw but is Salvage</t>
  </si>
  <si>
    <t>Fitting Rooms</t>
  </si>
  <si>
    <t>Labeled as Soft but is Hard</t>
  </si>
  <si>
    <t>Production Room</t>
  </si>
  <si>
    <t>Labeled as Hard but is Soft</t>
  </si>
  <si>
    <t>Offices</t>
  </si>
  <si>
    <t>Total Error Rate Container Labels</t>
  </si>
  <si>
    <t>General Store Comments</t>
  </si>
  <si>
    <t>Three Most Important Priorities</t>
  </si>
  <si>
    <t>Opportunity</t>
  </si>
  <si>
    <t>Action Plan            (Smart Goal)</t>
  </si>
  <si>
    <t xml:space="preserve">Pre-Visit Data
</t>
  </si>
  <si>
    <t>By 3/14/2026, fully complete the Spring seasonal flip to ensure all departments reflect current spring layout, product placement, and merchandising standards.
Responsible: Amanda Leece
Action Steps:
Create a category plan with clear completion dates.
Ensure all in-season categories are properly set and signed.
Conduct a final walk-through by 3/15/26 to verify presentation, organization, and customer readiness.
Review progress in weekly leadership meetings until completion.</t>
  </si>
  <si>
    <t>Evaluation Completed by: Jason Cole</t>
  </si>
  <si>
    <t>Loveland has shown improvement as more structure has been implemented, with positive results including the successful adoption of a daily recovery process during the first 30 minutes of the day and an increase in the number of containers processed in Hardlines, which is beginning to translate into stronger sales. The store is currently making budget MTD at 3% over goal and 4.6% over last year, with average transaction value exceeding last year by 2.28%.
Opportunities remain in several areas. Books are still thin, and excess fixtures by the vending machine remain on the floor. There is unprocessed raw product, and the softlines area continues to be cluttered. Staffing and onboarding are still priorities, as three positions remain open and huddles are inconsistent. Additionally, team members must adhere to dress code standards, as some are currently out of compliance. Focus should remain on strengthening team onboarding, improving merchandising execution, maintaining consistent floor standards, and ensuring the store’s cleanliness and organization continue to improve.</t>
  </si>
  <si>
    <t>Complete the Spring Flip by  3/14/2026.-Incomplete</t>
  </si>
  <si>
    <t>Responsible: Amanda Leece
Ensure all hardlines raw items are processed at a minimum pace of 15 gaylords per day.
Only place quality, saleable items on the sales floor; maintain aisle integrity and freshness.
Look for schedule adjustments and team opportunities to support hardlines production.
Monitor production closely and adjust daily goals to ensure progress toward revenue targets.
What success looks like:
Hardlines production shows measurable improvement in both volume and quality on the sales floor.
Team consistently meets or exceeds daily hardlines processing targets.
Overall floor presentation and product freshness maintained at high standards.</t>
  </si>
  <si>
    <t>By 3/13/26, Amanda Leece will establish and maintain daily, weekly, and monthly production goals to drive substantial improvement in hardlines performance.</t>
  </si>
  <si>
    <t>By 3/25/26, Loveland will be fully staffed, and all new team members will complete a structured 10-day onboarding covering job training, safety, and performance expectations.
Responsible: Amanda Leece
Action Steps:
Complete hiring of all open positions (2 hires in process, 1 started).
Ensure each new hire completes onboarding within 10 days with follow-up verification.
Success Criteria:
All positions filled by 3/25/26.
New hires demonstrate competency and understanding of responsibilities within 10 days.</t>
  </si>
  <si>
    <t>Staffing and  Onboarding: Get fully staffed by 3/25/26.  Ensure all new team members are properly onboarded in their first 10 days.-In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</si>
</sst>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0.0%"/>
  </numFmts>
  <fonts count="2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20"/>
      <color theme="1"/>
      <name val="Aptos Narrow"/>
      <family val="2"/>
      <scheme val="minor"/>
    </font>
    <font>
      <b/>
      <sz val="16"/>
      <color theme="1"/>
      <name val="Aptos Narrow"/>
      <family val="2"/>
      <scheme val="minor"/>
    </font>
    <font>
      <b/>
      <sz val="14"/>
      <color theme="1"/>
      <name val="Aptos Narrow"/>
      <family val="2"/>
      <scheme val="minor"/>
    </font>
    <font>
      <b/>
      <sz val="9"/>
      <color theme="1"/>
      <name val="Aptos Narrow"/>
      <family val="2"/>
      <scheme val="minor"/>
    </font>
    <font>
      <sz val="9"/>
      <color theme="1"/>
      <name val="Aptos Narrow"/>
      <family val="2"/>
      <scheme val="minor"/>
    </font>
    <font>
      <b/>
      <sz val="11"/>
      <color rgb="FFFF0000"/>
      <name val="Aptos Narrow"/>
      <family val="2"/>
      <scheme val="minor"/>
    </font>
    <font>
      <b/>
      <sz val="11"/>
      <name val="Aptos Narrow"/>
      <family val="2"/>
      <scheme val="minor"/>
    </font>
    <font>
      <b/>
      <sz val="18"/>
      <color theme="1"/>
      <name val="Aptos Narrow"/>
      <family val="2"/>
      <scheme val="minor"/>
    </font>
    <font>
      <b/>
      <sz val="12"/>
      <color rgb="FFFF0000"/>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rgb="FF000000"/>
      <name val="Aptos Narrow"/>
      <scheme val="minor"/>
    </font>
    <font>
      <b/>
      <sz val="11"/>
      <color rgb="FFFF0000"/>
      <name val="Aptos Narrow"/>
      <scheme val="minor"/>
    </font>
    <font>
      <b/>
      <sz val="11"/>
      <color theme="1"/>
      <name val="Aptos Narrow"/>
      <scheme val="minor"/>
    </font>
    <font>
      <b/>
      <sz val="11"/>
      <color rgb="FFDB1DBF"/>
      <name val="Aptos Narrow"/>
      <family val="2"/>
      <scheme val="minor"/>
    </font>
    <font>
      <sz val="11"/>
      <color rgb="FF000000"/>
      <name val="Aptos Narrow"/>
      <family val="2"/>
      <scheme val="minor"/>
    </font>
    <font>
      <b/>
      <sz val="10"/>
      <color theme="1"/>
      <name val="Aptos Narrow"/>
      <family val="2"/>
      <scheme val="minor"/>
    </font>
    <font>
      <b/>
      <sz val="11"/>
      <color rgb="FF000000"/>
      <name val="Aptos Narrow"/>
      <family val="2"/>
      <scheme val="minor"/>
    </font>
    <font>
      <sz val="11"/>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6" tint="0.79998168889431442"/>
        <bgColor indexed="64"/>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s>
  <cellStyleXfs count="5">
    <xf numFmtId="0" fontId="0" fillId="0" borderId="0"/>
    <xf numFmtId="9" fontId="1" fillId="0" borderId="0" applyFont="0" applyFill="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0" applyNumberFormat="0" applyBorder="0" applyAlignment="0" applyProtection="0"/>
  </cellStyleXfs>
  <cellXfs count="148">
    <xf numFmtId="0" fontId="0" fillId="0" borderId="0" xfId="0"/>
    <xf numFmtId="0" fontId="3" fillId="0" borderId="0" xfId="0" applyFont="1" applyAlignment="1">
      <alignment horizontal="center" vertical="center"/>
    </xf>
    <xf numFmtId="0" fontId="7" fillId="2" borderId="9" xfId="0" applyFont="1" applyFill="1" applyBorder="1" applyAlignment="1">
      <alignment horizontal="center" vertical="center" wrapText="1"/>
    </xf>
    <xf numFmtId="9" fontId="3" fillId="2" borderId="12" xfId="1" applyFont="1" applyFill="1" applyBorder="1" applyAlignment="1">
      <alignment horizontal="center" vertical="center"/>
    </xf>
    <xf numFmtId="0" fontId="3" fillId="0" borderId="0" xfId="0" applyFont="1" applyAlignment="1">
      <alignment horizontal="left" vertical="top"/>
    </xf>
    <xf numFmtId="0" fontId="4" fillId="2" borderId="0" xfId="0" applyFont="1" applyFill="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8" xfId="0"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9" fontId="7" fillId="2" borderId="9" xfId="1" applyFont="1" applyFill="1" applyBorder="1" applyAlignment="1">
      <alignment horizontal="center" vertical="center"/>
    </xf>
    <xf numFmtId="2" fontId="3" fillId="2" borderId="0" xfId="0" applyNumberFormat="1" applyFont="1" applyFill="1" applyAlignment="1">
      <alignment horizontal="center" vertical="center"/>
    </xf>
    <xf numFmtId="9" fontId="7" fillId="2" borderId="9" xfId="1" applyFont="1" applyFill="1" applyBorder="1" applyAlignment="1">
      <alignment horizontal="center" vertical="center" wrapText="1"/>
    </xf>
    <xf numFmtId="0" fontId="7" fillId="2" borderId="0" xfId="0" applyFont="1" applyFill="1" applyAlignment="1">
      <alignment horizontal="center" vertical="center" wrapText="1"/>
    </xf>
    <xf numFmtId="14" fontId="7" fillId="2" borderId="0" xfId="0" applyNumberFormat="1" applyFont="1" applyFill="1" applyAlignment="1">
      <alignment horizontal="center" vertical="center"/>
    </xf>
    <xf numFmtId="0" fontId="8" fillId="2" borderId="0" xfId="0" applyFont="1" applyFill="1" applyAlignment="1">
      <alignment horizontal="center" vertical="center"/>
    </xf>
    <xf numFmtId="0" fontId="7" fillId="2" borderId="1" xfId="0" applyFont="1" applyFill="1" applyBorder="1" applyAlignment="1">
      <alignment horizontal="center" vertical="center"/>
    </xf>
    <xf numFmtId="0" fontId="3" fillId="2" borderId="9" xfId="0" applyFont="1" applyFill="1" applyBorder="1" applyAlignment="1">
      <alignment horizontal="center" vertical="center"/>
    </xf>
    <xf numFmtId="164" fontId="3" fillId="2" borderId="9" xfId="1" applyNumberFormat="1" applyFont="1" applyFill="1" applyBorder="1" applyAlignment="1">
      <alignment horizontal="center" vertical="center"/>
    </xf>
    <xf numFmtId="9" fontId="10" fillId="2" borderId="9" xfId="1" applyFont="1" applyFill="1" applyBorder="1" applyAlignment="1">
      <alignment horizontal="center" vertical="center"/>
    </xf>
    <xf numFmtId="164" fontId="3" fillId="2" borderId="0" xfId="1" applyNumberFormat="1" applyFont="1" applyFill="1" applyBorder="1" applyAlignment="1">
      <alignment horizontal="center" vertical="center"/>
    </xf>
    <xf numFmtId="164" fontId="3" fillId="2" borderId="4" xfId="1" applyNumberFormat="1" applyFont="1" applyFill="1" applyBorder="1" applyAlignment="1">
      <alignment horizontal="center" vertical="center"/>
    </xf>
    <xf numFmtId="0" fontId="0" fillId="2" borderId="0" xfId="0" applyFill="1"/>
    <xf numFmtId="0" fontId="8" fillId="2" borderId="4" xfId="0" applyFont="1" applyFill="1" applyBorder="1" applyAlignment="1">
      <alignment horizontal="center" vertical="center"/>
    </xf>
    <xf numFmtId="0" fontId="0" fillId="2" borderId="0" xfId="0" applyFill="1" applyAlignment="1">
      <alignment horizontal="center"/>
    </xf>
    <xf numFmtId="0" fontId="3" fillId="2" borderId="0" xfId="0" applyFont="1" applyFill="1" applyAlignment="1">
      <alignment horizontal="left" vertical="top"/>
    </xf>
    <xf numFmtId="0" fontId="19" fillId="2" borderId="0" xfId="0" applyFont="1" applyFill="1" applyAlignment="1">
      <alignment horizontal="center" vertical="center"/>
    </xf>
    <xf numFmtId="0" fontId="6" fillId="2" borderId="0" xfId="0" applyFont="1" applyFill="1" applyAlignment="1">
      <alignment horizontal="left" vertical="center"/>
    </xf>
    <xf numFmtId="0" fontId="21" fillId="2" borderId="0" xfId="0" applyFont="1" applyFill="1" applyAlignment="1">
      <alignment horizontal="center" vertical="center"/>
    </xf>
    <xf numFmtId="0" fontId="0" fillId="2" borderId="9" xfId="3" applyFont="1" applyFill="1" applyBorder="1" applyAlignment="1">
      <alignment horizontal="center" vertical="center"/>
    </xf>
    <xf numFmtId="9" fontId="2" fillId="2" borderId="9" xfId="3" applyNumberFormat="1" applyFont="1" applyFill="1" applyBorder="1" applyAlignment="1">
      <alignment horizontal="center" vertical="center"/>
    </xf>
    <xf numFmtId="9" fontId="3" fillId="6" borderId="9" xfId="3" applyNumberFormat="1" applyFont="1" applyFill="1" applyBorder="1" applyAlignment="1">
      <alignment horizontal="center" vertical="center"/>
    </xf>
    <xf numFmtId="9" fontId="3" fillId="6" borderId="9" xfId="3" applyNumberFormat="1" applyFont="1" applyFill="1" applyBorder="1" applyAlignment="1">
      <alignment horizontal="center" vertical="center" wrapText="1"/>
    </xf>
    <xf numFmtId="0" fontId="3" fillId="2" borderId="0" xfId="0" applyFont="1" applyFill="1" applyAlignment="1">
      <alignment horizontal="center" vertical="center"/>
    </xf>
    <xf numFmtId="0" fontId="3" fillId="2" borderId="10" xfId="0" applyFont="1" applyFill="1" applyBorder="1" applyAlignment="1">
      <alignment horizontal="left" vertical="center"/>
    </xf>
    <xf numFmtId="0" fontId="3" fillId="2" borderId="11" xfId="0" applyFont="1" applyFill="1" applyBorder="1" applyAlignment="1">
      <alignment horizontal="left" vertical="center"/>
    </xf>
    <xf numFmtId="0" fontId="3" fillId="2" borderId="12" xfId="0" applyFont="1" applyFill="1" applyBorder="1" applyAlignment="1">
      <alignment horizontal="left" vertical="center"/>
    </xf>
    <xf numFmtId="0" fontId="11" fillId="2" borderId="1" xfId="0" applyFont="1" applyFill="1" applyBorder="1" applyAlignment="1">
      <alignment horizontal="center" vertical="center"/>
    </xf>
    <xf numFmtId="0" fontId="11" fillId="2" borderId="15" xfId="0" applyFont="1" applyFill="1" applyBorder="1" applyAlignment="1">
      <alignment horizontal="center" vertical="center"/>
    </xf>
    <xf numFmtId="0" fontId="11" fillId="2" borderId="5"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12" fillId="2" borderId="2" xfId="0" applyFont="1"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2" xfId="0" applyFont="1" applyFill="1" applyBorder="1" applyAlignment="1">
      <alignment horizontal="left" vertical="top" wrapText="1"/>
    </xf>
    <xf numFmtId="0" fontId="0" fillId="2" borderId="13" xfId="0" applyFill="1" applyBorder="1" applyAlignment="1">
      <alignment horizontal="left" vertical="top" wrapText="1"/>
    </xf>
    <xf numFmtId="0" fontId="0" fillId="2" borderId="0" xfId="0" applyFill="1" applyAlignment="1">
      <alignment horizontal="left" vertical="top" wrapText="1"/>
    </xf>
    <xf numFmtId="0" fontId="0" fillId="2" borderId="14" xfId="0" applyFill="1" applyBorder="1" applyAlignment="1">
      <alignment horizontal="left" vertical="top" wrapText="1"/>
    </xf>
    <xf numFmtId="0" fontId="10" fillId="2" borderId="2" xfId="0" applyFont="1" applyFill="1" applyBorder="1" applyAlignment="1">
      <alignment horizontal="left" vertical="top" wrapText="1"/>
    </xf>
    <xf numFmtId="0" fontId="23" fillId="2" borderId="3" xfId="0" applyFont="1" applyFill="1" applyBorder="1" applyAlignment="1">
      <alignment horizontal="left" vertical="top" wrapText="1"/>
    </xf>
    <xf numFmtId="0" fontId="23" fillId="2" borderId="4" xfId="0" applyFont="1" applyFill="1" applyBorder="1" applyAlignment="1">
      <alignment horizontal="left" vertical="top" wrapText="1"/>
    </xf>
    <xf numFmtId="0" fontId="23" fillId="2" borderId="13" xfId="0" applyFont="1" applyFill="1" applyBorder="1" applyAlignment="1">
      <alignment horizontal="left" vertical="top" wrapText="1"/>
    </xf>
    <xf numFmtId="0" fontId="23" fillId="2" borderId="0" xfId="0" applyFont="1" applyFill="1" applyAlignment="1">
      <alignment horizontal="left" vertical="top" wrapText="1"/>
    </xf>
    <xf numFmtId="0" fontId="23" fillId="2" borderId="14" xfId="0" applyFont="1" applyFill="1" applyBorder="1" applyAlignment="1">
      <alignment horizontal="left" vertical="top" wrapText="1"/>
    </xf>
    <xf numFmtId="0" fontId="23" fillId="2" borderId="6" xfId="0" applyFont="1" applyFill="1" applyBorder="1" applyAlignment="1">
      <alignment horizontal="left" vertical="top" wrapText="1"/>
    </xf>
    <xf numFmtId="0" fontId="23" fillId="2" borderId="7" xfId="0" applyFont="1" applyFill="1" applyBorder="1" applyAlignment="1">
      <alignment horizontal="left" vertical="top" wrapText="1"/>
    </xf>
    <xf numFmtId="0" fontId="23" fillId="2" borderId="8" xfId="0" applyFont="1" applyFill="1" applyBorder="1" applyAlignment="1">
      <alignment horizontal="left" vertical="top" wrapText="1"/>
    </xf>
    <xf numFmtId="0" fontId="3" fillId="2" borderId="10" xfId="0" applyFont="1" applyFill="1" applyBorder="1" applyAlignment="1">
      <alignment horizontal="center" vertical="center"/>
    </xf>
    <xf numFmtId="0" fontId="0" fillId="2" borderId="12" xfId="0"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0" fillId="2" borderId="4" xfId="0" applyFill="1" applyBorder="1" applyAlignment="1">
      <alignment horizontal="center" vertical="center"/>
    </xf>
    <xf numFmtId="0" fontId="9" fillId="2" borderId="3"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3" fillId="2" borderId="10" xfId="0" applyFont="1" applyFill="1" applyBorder="1" applyAlignment="1">
      <alignment horizontal="center" vertical="top"/>
    </xf>
    <xf numFmtId="0" fontId="0" fillId="2" borderId="12" xfId="0" applyFill="1" applyBorder="1" applyAlignment="1">
      <alignment horizontal="center" vertical="top"/>
    </xf>
    <xf numFmtId="0" fontId="7" fillId="2" borderId="12"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18" fillId="2" borderId="2" xfId="0" applyFont="1" applyFill="1" applyBorder="1" applyAlignment="1">
      <alignment horizontal="center" vertical="center" wrapText="1"/>
    </xf>
    <xf numFmtId="0" fontId="0" fillId="2" borderId="3" xfId="0" applyFill="1" applyBorder="1" applyAlignment="1">
      <alignment wrapText="1"/>
    </xf>
    <xf numFmtId="0" fontId="0" fillId="2" borderId="4" xfId="0" applyFill="1" applyBorder="1" applyAlignment="1">
      <alignment wrapText="1"/>
    </xf>
    <xf numFmtId="0" fontId="0" fillId="2" borderId="6" xfId="0" applyFill="1" applyBorder="1" applyAlignment="1">
      <alignment wrapText="1"/>
    </xf>
    <xf numFmtId="0" fontId="0" fillId="2" borderId="7" xfId="0" applyFill="1" applyBorder="1" applyAlignment="1">
      <alignment wrapText="1"/>
    </xf>
    <xf numFmtId="0" fontId="0" fillId="2" borderId="8" xfId="0" applyFill="1" applyBorder="1" applyAlignment="1">
      <alignment wrapText="1"/>
    </xf>
    <xf numFmtId="0" fontId="0" fillId="2" borderId="11" xfId="0"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7" fillId="2" borderId="10" xfId="0" applyFont="1" applyFill="1" applyBorder="1" applyAlignment="1">
      <alignment horizontal="center" vertical="center" wrapText="1"/>
    </xf>
    <xf numFmtId="0" fontId="0" fillId="2" borderId="12" xfId="0" applyFill="1" applyBorder="1" applyAlignment="1">
      <alignment horizontal="center" vertical="center" wrapText="1"/>
    </xf>
    <xf numFmtId="9" fontId="22" fillId="6" borderId="10" xfId="4" applyNumberFormat="1" applyFont="1" applyFill="1" applyBorder="1" applyAlignment="1">
      <alignment horizontal="center" vertical="center"/>
    </xf>
    <xf numFmtId="9" fontId="22" fillId="6" borderId="12" xfId="4" applyNumberFormat="1" applyFont="1" applyFill="1" applyBorder="1" applyAlignment="1">
      <alignment horizontal="center" vertical="center"/>
    </xf>
    <xf numFmtId="0" fontId="9" fillId="2" borderId="10"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13" xfId="0" applyFill="1" applyBorder="1" applyAlignment="1">
      <alignment horizontal="center" wrapText="1"/>
    </xf>
    <xf numFmtId="0" fontId="0" fillId="2" borderId="0" xfId="0" applyFill="1" applyAlignment="1">
      <alignment horizontal="center" wrapText="1"/>
    </xf>
    <xf numFmtId="0" fontId="0" fillId="2" borderId="14" xfId="0" applyFill="1" applyBorder="1" applyAlignment="1">
      <alignment horizontal="center" wrapText="1"/>
    </xf>
    <xf numFmtId="0" fontId="8" fillId="2" borderId="12" xfId="0" applyFont="1" applyFill="1" applyBorder="1" applyAlignment="1">
      <alignment horizontal="center" vertical="center" wrapText="1"/>
    </xf>
    <xf numFmtId="9" fontId="20" fillId="2" borderId="10" xfId="3" applyNumberFormat="1" applyFont="1" applyFill="1" applyBorder="1" applyAlignment="1">
      <alignment horizontal="center" vertical="center" wrapText="1"/>
    </xf>
    <xf numFmtId="9" fontId="20" fillId="2" borderId="12" xfId="3" applyNumberFormat="1" applyFont="1" applyFill="1" applyBorder="1" applyAlignment="1">
      <alignment horizontal="center" vertical="center" wrapText="1"/>
    </xf>
    <xf numFmtId="10" fontId="0" fillId="2" borderId="10" xfId="3" applyNumberFormat="1" applyFont="1" applyFill="1" applyBorder="1" applyAlignment="1">
      <alignment horizontal="center" vertical="center" wrapText="1"/>
    </xf>
    <xf numFmtId="10" fontId="0" fillId="2" borderId="12" xfId="3" applyNumberFormat="1" applyFont="1" applyFill="1" applyBorder="1" applyAlignment="1">
      <alignment horizontal="center" vertical="center" wrapText="1"/>
    </xf>
    <xf numFmtId="9" fontId="20" fillId="2" borderId="10" xfId="3" applyNumberFormat="1" applyFont="1" applyFill="1" applyBorder="1" applyAlignment="1">
      <alignment horizontal="center" vertical="center"/>
    </xf>
    <xf numFmtId="9" fontId="20" fillId="2" borderId="12" xfId="3" applyNumberFormat="1" applyFont="1" applyFill="1" applyBorder="1" applyAlignment="1">
      <alignment horizontal="center" vertical="center"/>
    </xf>
    <xf numFmtId="9" fontId="0" fillId="2" borderId="10" xfId="3" applyNumberFormat="1" applyFont="1" applyFill="1" applyBorder="1" applyAlignment="1">
      <alignment horizontal="center" vertical="center" wrapText="1"/>
    </xf>
    <xf numFmtId="9" fontId="0" fillId="2" borderId="12" xfId="3" applyNumberFormat="1" applyFont="1" applyFill="1" applyBorder="1" applyAlignment="1">
      <alignment horizontal="center" vertical="center" wrapText="1"/>
    </xf>
    <xf numFmtId="14" fontId="7" fillId="2" borderId="10" xfId="0" applyNumberFormat="1" applyFont="1" applyFill="1" applyBorder="1" applyAlignment="1">
      <alignment horizontal="center" vertical="center"/>
    </xf>
    <xf numFmtId="0" fontId="22" fillId="2" borderId="2" xfId="0" applyFont="1" applyFill="1" applyBorder="1" applyAlignment="1">
      <alignment horizontal="center" vertical="center" wrapText="1"/>
    </xf>
    <xf numFmtId="0" fontId="0" fillId="2" borderId="11" xfId="0" applyFill="1" applyBorder="1" applyAlignment="1">
      <alignment horizontal="center" vertical="center" wrapText="1"/>
    </xf>
    <xf numFmtId="9" fontId="20" fillId="2" borderId="10" xfId="2" applyNumberFormat="1" applyFont="1" applyFill="1" applyBorder="1" applyAlignment="1">
      <alignment horizontal="center" vertical="center" wrapText="1"/>
    </xf>
    <xf numFmtId="9" fontId="20" fillId="2" borderId="12" xfId="2" applyNumberFormat="1" applyFont="1" applyFill="1" applyBorder="1" applyAlignment="1">
      <alignment horizontal="center" vertical="center" wrapText="1"/>
    </xf>
    <xf numFmtId="8" fontId="0" fillId="2" borderId="10" xfId="2" applyNumberFormat="1" applyFont="1" applyFill="1" applyBorder="1" applyAlignment="1">
      <alignment horizontal="center" vertical="center" wrapText="1"/>
    </xf>
    <xf numFmtId="44" fontId="0" fillId="2" borderId="12" xfId="2" applyNumberFormat="1"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5" xfId="0" applyFont="1" applyFill="1" applyBorder="1" applyAlignment="1">
      <alignment horizontal="center" vertical="center"/>
    </xf>
    <xf numFmtId="0" fontId="6"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8" xfId="0" applyFont="1" applyFill="1" applyBorder="1" applyAlignment="1">
      <alignment horizontal="center" vertical="center"/>
    </xf>
    <xf numFmtId="0" fontId="0" fillId="2" borderId="8" xfId="0" applyFill="1" applyBorder="1" applyAlignment="1">
      <alignment horizontal="center" vertical="center"/>
    </xf>
    <xf numFmtId="14" fontId="9" fillId="2" borderId="10" xfId="0" applyNumberFormat="1" applyFont="1" applyFill="1" applyBorder="1" applyAlignment="1">
      <alignment horizontal="center" vertical="center"/>
    </xf>
    <xf numFmtId="14" fontId="9" fillId="2" borderId="11" xfId="0" applyNumberFormat="1" applyFont="1" applyFill="1" applyBorder="1" applyAlignment="1">
      <alignment horizontal="center" vertical="center"/>
    </xf>
    <xf numFmtId="14" fontId="9" fillId="2" borderId="1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8" xfId="0" applyFont="1" applyFill="1" applyBorder="1" applyAlignment="1">
      <alignment horizontal="center" vertical="center"/>
    </xf>
    <xf numFmtId="0" fontId="0" fillId="0" borderId="9" xfId="0" applyFill="1" applyBorder="1" applyAlignment="1">
      <alignment horizontal="center" vertical="center"/>
    </xf>
    <xf numFmtId="0" fontId="7" fillId="0" borderId="9" xfId="0" applyFont="1" applyFill="1" applyBorder="1" applyAlignment="1">
      <alignment horizontal="center" vertical="center"/>
    </xf>
    <xf numFmtId="0" fontId="3" fillId="0" borderId="10" xfId="0" applyFont="1" applyFill="1" applyBorder="1" applyAlignment="1">
      <alignment horizontal="center" vertical="center"/>
    </xf>
    <xf numFmtId="0" fontId="0" fillId="0" borderId="12" xfId="0" applyFill="1" applyBorder="1" applyAlignment="1">
      <alignment horizontal="center" vertical="center"/>
    </xf>
    <xf numFmtId="0" fontId="3" fillId="0" borderId="9" xfId="0" applyFont="1" applyFill="1" applyBorder="1" applyAlignment="1">
      <alignment horizontal="center" vertical="center"/>
    </xf>
    <xf numFmtId="0" fontId="3" fillId="0" borderId="1" xfId="0" applyFont="1" applyFill="1" applyBorder="1" applyAlignment="1">
      <alignment horizontal="center" vertical="center"/>
    </xf>
    <xf numFmtId="0" fontId="8" fillId="0" borderId="9" xfId="0" applyFont="1" applyFill="1" applyBorder="1" applyAlignment="1">
      <alignment horizontal="center" vertical="center"/>
    </xf>
    <xf numFmtId="0" fontId="8" fillId="0" borderId="12" xfId="0" applyFont="1" applyFill="1" applyBorder="1" applyAlignment="1">
      <alignment horizontal="center" vertical="center"/>
    </xf>
    <xf numFmtId="0" fontId="7" fillId="0" borderId="12" xfId="0" applyFont="1" applyFill="1" applyBorder="1" applyAlignment="1">
      <alignment horizontal="center" vertical="center"/>
    </xf>
  </cellXfs>
  <cellStyles count="5">
    <cellStyle name="Bad" xfId="3" builtinId="27"/>
    <cellStyle name="Good" xfId="2" builtinId="26"/>
    <cellStyle name="Neutral" xfId="4" builtinId="28"/>
    <cellStyle name="Normal" xfId="0" builtinId="0"/>
    <cellStyle name="Percent" xfId="1" builtinId="5"/>
  </cellStyles>
  <dxfs count="0"/>
  <tableStyles count="0" defaultTableStyle="TableStyleMedium2" defaultPivotStyle="PivotStyleLight16"/>
  <colors>
    <mruColors>
      <color rgb="FFDB1DBF"/>
      <color rgb="FFF5F5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C737-97CF-46AF-823B-BC526D273241}">
  <dimension ref="A1:T68"/>
  <sheetViews>
    <sheetView tabSelected="1" workbookViewId="0">
      <selection activeCell="P11" sqref="P11"/>
    </sheetView>
  </sheetViews>
  <sheetFormatPr defaultColWidth="9.140625" defaultRowHeight="15" x14ac:dyDescent="0.25"/>
  <cols>
    <col min="1" max="1" width="12" style="1" customWidth="1"/>
    <col min="2" max="3" width="9.140625" style="1"/>
    <col min="4" max="4" width="20" style="1" customWidth="1"/>
    <col min="5" max="5" width="4.7109375" style="1" customWidth="1"/>
    <col min="6" max="6" width="10.28515625" style="1" customWidth="1"/>
    <col min="7" max="7" width="10" style="1" customWidth="1"/>
    <col min="8" max="8" width="9.140625" style="1"/>
    <col min="9" max="9" width="8.42578125" style="1" customWidth="1"/>
    <col min="10" max="10" width="4.7109375" style="1" customWidth="1"/>
    <col min="11" max="11" width="23" style="1" customWidth="1"/>
    <col min="12" max="12" width="18.85546875" style="1" customWidth="1"/>
    <col min="13" max="13" width="25.140625" style="1" customWidth="1"/>
    <col min="14" max="14" width="18.28515625" style="1" customWidth="1"/>
    <col min="15" max="15" width="17.140625" style="1" customWidth="1"/>
    <col min="16" max="16" width="9.140625" style="1"/>
    <col min="17" max="17" width="9.5703125" style="1" customWidth="1"/>
    <col min="18" max="18" width="10" style="1" customWidth="1"/>
    <col min="19" max="19" width="10.28515625" style="1" customWidth="1"/>
    <col min="20" max="20" width="12" style="1" customWidth="1"/>
    <col min="21" max="16384" width="9.140625" style="1"/>
  </cols>
  <sheetData>
    <row r="1" spans="1:15" ht="28.5" customHeight="1" thickBot="1" x14ac:dyDescent="0.3">
      <c r="A1" s="5" t="s">
        <v>0</v>
      </c>
      <c r="B1" s="6"/>
      <c r="C1" s="6"/>
      <c r="D1" s="6"/>
      <c r="E1" s="6" t="s">
        <v>1</v>
      </c>
      <c r="F1" s="7" t="s">
        <v>1</v>
      </c>
      <c r="G1" s="6" t="s">
        <v>1</v>
      </c>
      <c r="H1" s="6"/>
      <c r="I1" s="6"/>
      <c r="J1" s="6"/>
      <c r="K1" s="37" t="s">
        <v>80</v>
      </c>
      <c r="L1" s="38"/>
      <c r="M1" s="38"/>
      <c r="N1" s="39"/>
      <c r="O1" s="6"/>
    </row>
    <row r="2" spans="1:15" ht="21.75" customHeight="1" x14ac:dyDescent="0.25">
      <c r="A2" s="128" t="s">
        <v>2</v>
      </c>
      <c r="B2" s="130" t="s">
        <v>3</v>
      </c>
      <c r="C2" s="44"/>
      <c r="D2" s="131"/>
      <c r="E2" s="6"/>
      <c r="F2" s="43" t="s">
        <v>4</v>
      </c>
      <c r="G2" s="44"/>
      <c r="H2" s="44"/>
      <c r="I2" s="76"/>
      <c r="J2" s="6"/>
      <c r="K2" s="53" t="s">
        <v>5</v>
      </c>
      <c r="L2" s="93"/>
      <c r="M2" s="93"/>
      <c r="N2" s="94"/>
      <c r="O2" s="9"/>
    </row>
    <row r="3" spans="1:15" ht="23.25" customHeight="1" thickBot="1" x14ac:dyDescent="0.3">
      <c r="A3" s="129"/>
      <c r="B3" s="45"/>
      <c r="C3" s="46"/>
      <c r="D3" s="132"/>
      <c r="E3" s="6"/>
      <c r="F3" s="45"/>
      <c r="G3" s="46"/>
      <c r="H3" s="46"/>
      <c r="I3" s="133"/>
      <c r="J3" s="6"/>
      <c r="K3" s="95"/>
      <c r="L3" s="96"/>
      <c r="M3" s="96"/>
      <c r="N3" s="97"/>
      <c r="O3" s="11"/>
    </row>
    <row r="4" spans="1:15" ht="24" customHeight="1" thickBot="1" x14ac:dyDescent="0.3">
      <c r="A4" s="12" t="s">
        <v>6</v>
      </c>
      <c r="B4" s="134">
        <v>46091</v>
      </c>
      <c r="C4" s="135"/>
      <c r="D4" s="136"/>
      <c r="E4" s="6"/>
      <c r="F4" s="137" t="s">
        <v>7</v>
      </c>
      <c r="G4" s="138"/>
      <c r="H4" s="141">
        <v>1</v>
      </c>
      <c r="I4" s="142"/>
      <c r="J4" s="6"/>
      <c r="K4" s="2" t="s">
        <v>8</v>
      </c>
      <c r="L4" s="12">
        <v>4</v>
      </c>
      <c r="M4" s="13" t="s">
        <v>9</v>
      </c>
      <c r="N4" s="139">
        <v>1</v>
      </c>
      <c r="O4" s="14"/>
    </row>
    <row r="5" spans="1:15" ht="25.5" customHeight="1" x14ac:dyDescent="0.25">
      <c r="A5" s="2" t="s">
        <v>10</v>
      </c>
      <c r="B5" s="121">
        <v>46078</v>
      </c>
      <c r="C5" s="91"/>
      <c r="D5" s="92"/>
      <c r="E5" s="6"/>
      <c r="F5" s="74" t="s">
        <v>11</v>
      </c>
      <c r="G5" s="81"/>
      <c r="H5" s="141">
        <v>2</v>
      </c>
      <c r="I5" s="142"/>
      <c r="J5" s="6"/>
      <c r="K5" s="15" t="s">
        <v>12</v>
      </c>
      <c r="L5" s="31" t="s">
        <v>13</v>
      </c>
      <c r="M5" s="12" t="s">
        <v>14</v>
      </c>
      <c r="N5" s="140">
        <v>3</v>
      </c>
      <c r="O5" s="6"/>
    </row>
    <row r="6" spans="1:15" ht="25.5" customHeight="1" thickBot="1" x14ac:dyDescent="0.3">
      <c r="A6" s="16"/>
      <c r="B6" s="17"/>
      <c r="C6" s="18"/>
      <c r="D6" s="18"/>
      <c r="E6" s="6"/>
      <c r="F6" s="11"/>
      <c r="G6" s="11"/>
      <c r="H6" s="6"/>
      <c r="I6" s="9"/>
      <c r="J6" s="6"/>
      <c r="K6" s="13"/>
      <c r="L6" s="12"/>
      <c r="M6" s="13" t="s">
        <v>15</v>
      </c>
      <c r="N6" s="34">
        <v>0.1</v>
      </c>
      <c r="O6" s="6"/>
    </row>
    <row r="7" spans="1:15" ht="48" customHeight="1" x14ac:dyDescent="0.25">
      <c r="A7" s="122" t="s">
        <v>78</v>
      </c>
      <c r="B7" s="93"/>
      <c r="C7" s="93"/>
      <c r="D7" s="93"/>
      <c r="E7" s="123"/>
      <c r="F7" s="93"/>
      <c r="G7" s="93"/>
      <c r="H7" s="93"/>
      <c r="I7" s="94"/>
      <c r="J7" s="6"/>
      <c r="K7" s="15" t="s">
        <v>16</v>
      </c>
      <c r="L7" s="35">
        <v>0.16</v>
      </c>
      <c r="M7" s="13" t="s">
        <v>17</v>
      </c>
      <c r="N7" s="33">
        <v>-0.05</v>
      </c>
      <c r="O7" s="6"/>
    </row>
    <row r="8" spans="1:15" ht="25.5" customHeight="1" x14ac:dyDescent="0.25">
      <c r="A8" s="101" t="s">
        <v>18</v>
      </c>
      <c r="B8" s="112"/>
      <c r="C8" s="124">
        <v>0.03</v>
      </c>
      <c r="D8" s="125"/>
      <c r="E8" s="6"/>
      <c r="F8" s="101" t="s">
        <v>19</v>
      </c>
      <c r="G8" s="102"/>
      <c r="H8" s="126">
        <v>2.96</v>
      </c>
      <c r="I8" s="127"/>
      <c r="J8" s="6"/>
      <c r="K8" s="2" t="s">
        <v>20</v>
      </c>
      <c r="L8" s="32">
        <v>-11</v>
      </c>
      <c r="M8" s="12"/>
      <c r="N8" s="12"/>
      <c r="O8" s="6"/>
    </row>
    <row r="9" spans="1:15" ht="25.5" customHeight="1" x14ac:dyDescent="0.25">
      <c r="A9" s="101" t="s">
        <v>21</v>
      </c>
      <c r="B9" s="112"/>
      <c r="C9" s="113">
        <v>4.5999999999999999E-2</v>
      </c>
      <c r="D9" s="114"/>
      <c r="E9" s="6"/>
      <c r="F9" s="101" t="s">
        <v>22</v>
      </c>
      <c r="G9" s="102"/>
      <c r="H9" s="115">
        <v>0.28999999999999998</v>
      </c>
      <c r="I9" s="116"/>
      <c r="J9" s="6"/>
      <c r="K9" s="2" t="s">
        <v>23</v>
      </c>
      <c r="L9" s="12" t="s">
        <v>24</v>
      </c>
      <c r="M9" s="13" t="s">
        <v>25</v>
      </c>
      <c r="N9" s="140">
        <v>12</v>
      </c>
      <c r="O9" s="6"/>
    </row>
    <row r="10" spans="1:15" ht="25.5" customHeight="1" x14ac:dyDescent="0.25">
      <c r="A10" s="101" t="s">
        <v>26</v>
      </c>
      <c r="B10" s="102"/>
      <c r="C10" s="117">
        <v>0.09</v>
      </c>
      <c r="D10" s="118"/>
      <c r="E10" s="6"/>
      <c r="F10" s="101" t="s">
        <v>27</v>
      </c>
      <c r="G10" s="102"/>
      <c r="H10" s="119">
        <v>0.52</v>
      </c>
      <c r="I10" s="120"/>
      <c r="J10" s="6"/>
      <c r="K10" s="12"/>
      <c r="L10" s="2"/>
      <c r="M10" s="12" t="s">
        <v>28</v>
      </c>
      <c r="N10" s="140">
        <v>0</v>
      </c>
      <c r="O10" s="6"/>
    </row>
    <row r="11" spans="1:15" ht="25.5" customHeight="1" x14ac:dyDescent="0.25">
      <c r="A11" s="101" t="s">
        <v>29</v>
      </c>
      <c r="B11" s="102"/>
      <c r="C11" s="103">
        <v>0.45</v>
      </c>
      <c r="D11" s="104"/>
      <c r="E11" s="6"/>
      <c r="F11" s="101" t="s">
        <v>30</v>
      </c>
      <c r="G11" s="102"/>
      <c r="H11" s="105">
        <v>3</v>
      </c>
      <c r="I11" s="106"/>
      <c r="J11" s="6"/>
      <c r="K11" s="19"/>
      <c r="L11" s="19"/>
      <c r="M11" s="19"/>
      <c r="N11" s="19"/>
      <c r="O11" s="6"/>
    </row>
    <row r="12" spans="1:15" ht="23.25" customHeight="1" thickBot="1" x14ac:dyDescent="0.3">
      <c r="A12" s="84" t="s">
        <v>31</v>
      </c>
      <c r="B12" s="107"/>
      <c r="C12" s="107"/>
      <c r="D12" s="108"/>
      <c r="E12" s="6"/>
      <c r="F12" s="6"/>
      <c r="G12" s="6"/>
      <c r="H12" s="6"/>
      <c r="I12" s="6"/>
      <c r="J12" s="6"/>
      <c r="K12" s="43" t="s">
        <v>32</v>
      </c>
      <c r="L12" s="98"/>
      <c r="M12" s="77" t="s">
        <v>33</v>
      </c>
      <c r="N12" s="8"/>
      <c r="O12" s="6"/>
    </row>
    <row r="13" spans="1:15" ht="24" customHeight="1" thickBot="1" x14ac:dyDescent="0.3">
      <c r="A13" s="109"/>
      <c r="B13" s="110"/>
      <c r="C13" s="110"/>
      <c r="D13" s="111"/>
      <c r="E13" s="6"/>
      <c r="F13" s="84" t="s">
        <v>34</v>
      </c>
      <c r="G13" s="93"/>
      <c r="H13" s="93"/>
      <c r="I13" s="94"/>
      <c r="J13" s="6"/>
      <c r="K13" s="99"/>
      <c r="L13" s="100"/>
      <c r="M13" s="78"/>
      <c r="N13" s="10" t="s">
        <v>35</v>
      </c>
      <c r="O13" s="9" t="s">
        <v>1</v>
      </c>
    </row>
    <row r="14" spans="1:15" ht="25.5" customHeight="1" thickBot="1" x14ac:dyDescent="0.3">
      <c r="A14" s="74" t="s">
        <v>36</v>
      </c>
      <c r="B14" s="91"/>
      <c r="C14" s="92"/>
      <c r="D14" s="20" t="s">
        <v>44</v>
      </c>
      <c r="E14" s="6"/>
      <c r="F14" s="95"/>
      <c r="G14" s="96"/>
      <c r="H14" s="96"/>
      <c r="I14" s="97"/>
      <c r="J14" s="6"/>
      <c r="K14" s="74" t="s">
        <v>37</v>
      </c>
      <c r="L14" s="73"/>
      <c r="M14" s="146">
        <v>200</v>
      </c>
      <c r="N14" s="20"/>
      <c r="O14" s="11"/>
    </row>
    <row r="15" spans="1:15" ht="24.75" customHeight="1" thickBot="1" x14ac:dyDescent="0.3">
      <c r="A15" s="74" t="s">
        <v>38</v>
      </c>
      <c r="B15" s="91"/>
      <c r="C15" s="92"/>
      <c r="D15" s="20" t="s">
        <v>13</v>
      </c>
      <c r="E15" s="6"/>
      <c r="F15" s="74" t="s">
        <v>39</v>
      </c>
      <c r="G15" s="90"/>
      <c r="H15" s="73"/>
      <c r="I15" s="143" t="s">
        <v>40</v>
      </c>
      <c r="J15" s="6"/>
      <c r="K15" s="74" t="s">
        <v>41</v>
      </c>
      <c r="L15" s="73"/>
      <c r="M15" s="147">
        <v>0</v>
      </c>
      <c r="N15" s="21">
        <f>M15/M14</f>
        <v>0</v>
      </c>
      <c r="O15" s="14"/>
    </row>
    <row r="16" spans="1:15" ht="20.25" customHeight="1" thickBot="1" x14ac:dyDescent="0.3">
      <c r="A16" s="74" t="s">
        <v>42</v>
      </c>
      <c r="B16" s="91"/>
      <c r="C16" s="92"/>
      <c r="D16" s="20" t="s">
        <v>40</v>
      </c>
      <c r="E16" s="6"/>
      <c r="F16" s="74" t="s">
        <v>43</v>
      </c>
      <c r="G16" s="90"/>
      <c r="H16" s="73"/>
      <c r="I16" s="143" t="s">
        <v>40</v>
      </c>
      <c r="J16" s="6"/>
      <c r="K16" s="74" t="s">
        <v>45</v>
      </c>
      <c r="L16" s="73"/>
      <c r="M16" s="147">
        <v>3</v>
      </c>
      <c r="N16" s="21">
        <f>M16/M14</f>
        <v>1.4999999999999999E-2</v>
      </c>
      <c r="O16" s="6"/>
    </row>
    <row r="17" spans="1:16" ht="19.5" customHeight="1" thickBot="1" x14ac:dyDescent="0.3">
      <c r="A17" s="74" t="s">
        <v>46</v>
      </c>
      <c r="B17" s="91"/>
      <c r="C17" s="92"/>
      <c r="D17" s="20" t="s">
        <v>47</v>
      </c>
      <c r="E17" s="6"/>
      <c r="F17" s="74" t="s">
        <v>48</v>
      </c>
      <c r="G17" s="90"/>
      <c r="H17" s="73"/>
      <c r="I17" s="143" t="s">
        <v>40</v>
      </c>
      <c r="J17" s="6"/>
      <c r="K17" s="74" t="s">
        <v>49</v>
      </c>
      <c r="L17" s="73"/>
      <c r="M17" s="147">
        <v>6</v>
      </c>
      <c r="N17" s="21">
        <f>M17/M14</f>
        <v>0.03</v>
      </c>
      <c r="O17" s="6"/>
    </row>
    <row r="18" spans="1:16" ht="21" customHeight="1" thickBot="1" x14ac:dyDescent="0.3">
      <c r="A18" s="84" t="s">
        <v>50</v>
      </c>
      <c r="B18" s="85"/>
      <c r="C18" s="85"/>
      <c r="D18" s="86"/>
      <c r="E18" s="6"/>
      <c r="F18" s="74" t="s">
        <v>51</v>
      </c>
      <c r="G18" s="90"/>
      <c r="H18" s="73"/>
      <c r="I18" s="143" t="s">
        <v>47</v>
      </c>
      <c r="J18" s="6"/>
      <c r="K18" s="74" t="s">
        <v>52</v>
      </c>
      <c r="L18" s="73"/>
      <c r="M18" s="147"/>
      <c r="N18" s="22">
        <f>SUM(M15:M17)/M14</f>
        <v>4.4999999999999998E-2</v>
      </c>
      <c r="O18" s="6"/>
    </row>
    <row r="19" spans="1:16" ht="15.75" thickBot="1" x14ac:dyDescent="0.3">
      <c r="A19" s="87"/>
      <c r="B19" s="88"/>
      <c r="C19" s="88"/>
      <c r="D19" s="89"/>
      <c r="E19" s="6"/>
      <c r="F19" s="74" t="s">
        <v>53</v>
      </c>
      <c r="G19" s="90"/>
      <c r="H19" s="73"/>
      <c r="I19" s="144" t="s">
        <v>40</v>
      </c>
      <c r="J19" s="6"/>
      <c r="K19" s="11"/>
      <c r="L19" s="6"/>
      <c r="M19" s="11"/>
      <c r="N19" s="23"/>
      <c r="O19" s="6"/>
    </row>
    <row r="20" spans="1:16" ht="26.25" customHeight="1" thickBot="1" x14ac:dyDescent="0.3">
      <c r="A20" s="79" t="s">
        <v>54</v>
      </c>
      <c r="B20" s="80"/>
      <c r="C20" s="79" t="s">
        <v>44</v>
      </c>
      <c r="D20" s="80"/>
      <c r="E20" s="6"/>
      <c r="F20" s="74" t="s">
        <v>55</v>
      </c>
      <c r="G20" s="75"/>
      <c r="H20" s="81"/>
      <c r="I20" s="143" t="s">
        <v>47</v>
      </c>
      <c r="J20" s="6"/>
      <c r="K20" s="53" t="s">
        <v>56</v>
      </c>
      <c r="L20" s="54"/>
      <c r="M20" s="77" t="s">
        <v>57</v>
      </c>
      <c r="N20" s="24"/>
      <c r="O20" s="6"/>
    </row>
    <row r="21" spans="1:16" ht="20.25" customHeight="1" x14ac:dyDescent="0.25">
      <c r="A21" s="79" t="s">
        <v>58</v>
      </c>
      <c r="B21" s="80"/>
      <c r="C21" s="79" t="s">
        <v>13</v>
      </c>
      <c r="D21" s="80"/>
      <c r="E21" s="6"/>
      <c r="F21" s="74" t="s">
        <v>59</v>
      </c>
      <c r="G21" s="75"/>
      <c r="H21" s="81"/>
      <c r="I21" s="143" t="s">
        <v>40</v>
      </c>
      <c r="J21" s="6"/>
      <c r="K21" s="57"/>
      <c r="L21" s="58"/>
      <c r="M21" s="78"/>
      <c r="N21" s="10" t="s">
        <v>35</v>
      </c>
      <c r="O21" s="6"/>
    </row>
    <row r="22" spans="1:16" ht="19.5" customHeight="1" thickBot="1" x14ac:dyDescent="0.3">
      <c r="A22" s="79" t="s">
        <v>60</v>
      </c>
      <c r="B22" s="80"/>
      <c r="C22" s="79" t="s">
        <v>13</v>
      </c>
      <c r="D22" s="80"/>
      <c r="E22" s="6"/>
      <c r="F22" s="11" t="s">
        <v>1</v>
      </c>
      <c r="G22" s="11"/>
      <c r="H22" s="11"/>
      <c r="I22" s="25"/>
      <c r="J22" s="6"/>
      <c r="K22" s="82" t="s">
        <v>61</v>
      </c>
      <c r="L22" s="83"/>
      <c r="M22" s="145">
        <v>20</v>
      </c>
      <c r="N22" s="26"/>
      <c r="O22" s="6"/>
    </row>
    <row r="23" spans="1:16" ht="21.95" customHeight="1" thickBot="1" x14ac:dyDescent="0.3">
      <c r="A23" s="43" t="s">
        <v>62</v>
      </c>
      <c r="B23" s="76"/>
      <c r="C23" s="43" t="s">
        <v>13</v>
      </c>
      <c r="D23" s="76"/>
      <c r="E23" s="6"/>
      <c r="F23" s="6"/>
      <c r="G23" s="27"/>
      <c r="H23" s="27"/>
      <c r="I23" s="27"/>
      <c r="J23" s="6"/>
      <c r="K23" s="74" t="s">
        <v>63</v>
      </c>
      <c r="L23" s="75"/>
      <c r="M23" s="145">
        <v>4</v>
      </c>
      <c r="N23" s="3">
        <f>M23/M$22</f>
        <v>0.2</v>
      </c>
      <c r="O23" s="6"/>
    </row>
    <row r="24" spans="1:16" ht="21.95" customHeight="1" thickBot="1" x14ac:dyDescent="0.3">
      <c r="A24" s="72" t="s">
        <v>64</v>
      </c>
      <c r="B24" s="73"/>
      <c r="C24" s="72" t="s">
        <v>40</v>
      </c>
      <c r="D24" s="73"/>
      <c r="E24" s="6"/>
      <c r="F24" s="27"/>
      <c r="G24" s="27"/>
      <c r="H24" s="27"/>
      <c r="I24" s="27"/>
      <c r="J24" s="6"/>
      <c r="K24" s="74" t="s">
        <v>65</v>
      </c>
      <c r="L24" s="75"/>
      <c r="M24" s="145">
        <v>0</v>
      </c>
      <c r="N24" s="3">
        <f t="shared" ref="N24:N27" si="0">M24/M$22</f>
        <v>0</v>
      </c>
      <c r="O24" s="6"/>
    </row>
    <row r="25" spans="1:16" ht="21.95" customHeight="1" thickBot="1" x14ac:dyDescent="0.3">
      <c r="A25" s="72" t="s">
        <v>66</v>
      </c>
      <c r="B25" s="73"/>
      <c r="C25" s="72" t="s">
        <v>44</v>
      </c>
      <c r="D25" s="73"/>
      <c r="E25" s="6"/>
      <c r="F25" s="11"/>
      <c r="G25" s="18"/>
      <c r="H25" s="18"/>
      <c r="I25" s="6"/>
      <c r="J25" s="6"/>
      <c r="K25" s="74" t="s">
        <v>67</v>
      </c>
      <c r="L25" s="75"/>
      <c r="M25" s="140">
        <v>0</v>
      </c>
      <c r="N25" s="3">
        <f t="shared" si="0"/>
        <v>0</v>
      </c>
      <c r="O25" s="6"/>
    </row>
    <row r="26" spans="1:16" ht="21.95" customHeight="1" thickBot="1" x14ac:dyDescent="0.3">
      <c r="A26" s="72" t="s">
        <v>68</v>
      </c>
      <c r="B26" s="73"/>
      <c r="C26" s="72" t="s">
        <v>40</v>
      </c>
      <c r="D26" s="73"/>
      <c r="E26" s="6"/>
      <c r="F26" s="11"/>
      <c r="G26" s="18"/>
      <c r="H26" s="18"/>
      <c r="I26" s="6"/>
      <c r="J26" s="6"/>
      <c r="K26" s="74" t="s">
        <v>69</v>
      </c>
      <c r="L26" s="75"/>
      <c r="M26" s="140">
        <v>0</v>
      </c>
      <c r="N26" s="3">
        <f t="shared" si="0"/>
        <v>0</v>
      </c>
      <c r="O26" s="6"/>
    </row>
    <row r="27" spans="1:16" ht="21.95" customHeight="1" thickBot="1" x14ac:dyDescent="0.3">
      <c r="A27" s="72" t="s">
        <v>70</v>
      </c>
      <c r="B27" s="73"/>
      <c r="C27" s="72" t="s">
        <v>13</v>
      </c>
      <c r="D27" s="73"/>
      <c r="E27" s="6"/>
      <c r="F27" s="11"/>
      <c r="G27" s="18"/>
      <c r="H27" s="18"/>
      <c r="I27" s="6"/>
      <c r="J27" s="25"/>
      <c r="K27" s="74" t="s">
        <v>71</v>
      </c>
      <c r="L27" s="75"/>
      <c r="M27" s="140">
        <v>0</v>
      </c>
      <c r="N27" s="3">
        <f t="shared" si="0"/>
        <v>0</v>
      </c>
      <c r="O27" s="6"/>
    </row>
    <row r="28" spans="1:16" ht="21.95" customHeight="1" thickBot="1" x14ac:dyDescent="0.3">
      <c r="A28" s="72" t="s">
        <v>72</v>
      </c>
      <c r="B28" s="73"/>
      <c r="C28" s="72" t="s">
        <v>13</v>
      </c>
      <c r="D28" s="73"/>
      <c r="E28" s="6"/>
      <c r="F28" s="11"/>
      <c r="G28" s="18"/>
      <c r="H28" s="18"/>
      <c r="I28" s="6"/>
      <c r="J28" s="25"/>
      <c r="K28" s="74" t="s">
        <v>73</v>
      </c>
      <c r="L28" s="75"/>
      <c r="M28" s="140"/>
      <c r="N28" s="3">
        <f>SUM(M23:M27)/M22</f>
        <v>0.2</v>
      </c>
      <c r="O28" s="6"/>
    </row>
    <row r="29" spans="1:16" x14ac:dyDescent="0.25">
      <c r="A29" s="6"/>
      <c r="B29" s="6"/>
      <c r="C29" s="6"/>
      <c r="D29" s="6"/>
      <c r="E29" s="6"/>
      <c r="F29" s="25"/>
      <c r="G29" s="25"/>
      <c r="H29" s="25"/>
      <c r="I29" s="25"/>
      <c r="J29" s="25"/>
      <c r="K29" s="6"/>
      <c r="L29" s="6"/>
      <c r="M29" s="6"/>
      <c r="N29" s="6"/>
      <c r="O29" s="28"/>
      <c r="P29" s="4"/>
    </row>
    <row r="30" spans="1:16" ht="15.75" thickBot="1" x14ac:dyDescent="0.3">
      <c r="A30" s="7" t="s">
        <v>74</v>
      </c>
      <c r="B30" s="6"/>
      <c r="C30" s="6"/>
      <c r="D30" s="6"/>
      <c r="E30" s="6"/>
      <c r="F30" s="25"/>
      <c r="G30" s="25"/>
      <c r="H30" s="25"/>
      <c r="I30" s="25"/>
      <c r="J30" s="25"/>
      <c r="K30" s="25"/>
      <c r="L30" s="25"/>
      <c r="M30" s="25"/>
      <c r="N30" s="25"/>
      <c r="O30" s="28"/>
      <c r="P30" s="4"/>
    </row>
    <row r="31" spans="1:16" x14ac:dyDescent="0.25">
      <c r="A31" s="63" t="s">
        <v>81</v>
      </c>
      <c r="B31" s="64"/>
      <c r="C31" s="64"/>
      <c r="D31" s="64"/>
      <c r="E31" s="64"/>
      <c r="F31" s="64"/>
      <c r="G31" s="64"/>
      <c r="H31" s="64"/>
      <c r="I31" s="64"/>
      <c r="J31" s="64"/>
      <c r="K31" s="64"/>
      <c r="L31" s="64"/>
      <c r="M31" s="64"/>
      <c r="N31" s="65"/>
      <c r="O31" s="28"/>
      <c r="P31" s="4"/>
    </row>
    <row r="32" spans="1:16" x14ac:dyDescent="0.25">
      <c r="A32" s="66"/>
      <c r="B32" s="67"/>
      <c r="C32" s="67"/>
      <c r="D32" s="67"/>
      <c r="E32" s="67"/>
      <c r="F32" s="67"/>
      <c r="G32" s="67"/>
      <c r="H32" s="67"/>
      <c r="I32" s="67"/>
      <c r="J32" s="67"/>
      <c r="K32" s="67"/>
      <c r="L32" s="67"/>
      <c r="M32" s="67"/>
      <c r="N32" s="68"/>
      <c r="O32" s="28"/>
      <c r="P32" s="4"/>
    </row>
    <row r="33" spans="1:20" x14ac:dyDescent="0.25">
      <c r="A33" s="66"/>
      <c r="B33" s="67"/>
      <c r="C33" s="67"/>
      <c r="D33" s="67"/>
      <c r="E33" s="67"/>
      <c r="F33" s="67"/>
      <c r="G33" s="67"/>
      <c r="H33" s="67"/>
      <c r="I33" s="67"/>
      <c r="J33" s="67"/>
      <c r="K33" s="67"/>
      <c r="L33" s="67"/>
      <c r="M33" s="67"/>
      <c r="N33" s="68"/>
      <c r="O33" s="28"/>
      <c r="P33" s="4"/>
    </row>
    <row r="34" spans="1:20" ht="15" customHeight="1" x14ac:dyDescent="0.25">
      <c r="A34" s="66"/>
      <c r="B34" s="67"/>
      <c r="C34" s="67"/>
      <c r="D34" s="67"/>
      <c r="E34" s="67"/>
      <c r="F34" s="67"/>
      <c r="G34" s="67"/>
      <c r="H34" s="67"/>
      <c r="I34" s="67"/>
      <c r="J34" s="67"/>
      <c r="K34" s="67"/>
      <c r="L34" s="67"/>
      <c r="M34" s="67"/>
      <c r="N34" s="68"/>
      <c r="O34" s="28"/>
      <c r="P34" s="4"/>
    </row>
    <row r="35" spans="1:20" x14ac:dyDescent="0.25">
      <c r="A35" s="66"/>
      <c r="B35" s="67"/>
      <c r="C35" s="67"/>
      <c r="D35" s="67"/>
      <c r="E35" s="67"/>
      <c r="F35" s="67"/>
      <c r="G35" s="67"/>
      <c r="H35" s="67"/>
      <c r="I35" s="67"/>
      <c r="J35" s="67"/>
      <c r="K35" s="67"/>
      <c r="L35" s="67"/>
      <c r="M35" s="67"/>
      <c r="N35" s="68"/>
      <c r="O35" s="6"/>
    </row>
    <row r="36" spans="1:20" x14ac:dyDescent="0.25">
      <c r="A36" s="66"/>
      <c r="B36" s="67"/>
      <c r="C36" s="67"/>
      <c r="D36" s="67"/>
      <c r="E36" s="67"/>
      <c r="F36" s="67"/>
      <c r="G36" s="67"/>
      <c r="H36" s="67"/>
      <c r="I36" s="67"/>
      <c r="J36" s="67"/>
      <c r="K36" s="67"/>
      <c r="L36" s="67"/>
      <c r="M36" s="67"/>
      <c r="N36" s="68"/>
      <c r="O36" s="6"/>
    </row>
    <row r="37" spans="1:20" ht="20.25" customHeight="1" x14ac:dyDescent="0.25">
      <c r="A37" s="69"/>
      <c r="B37" s="70"/>
      <c r="C37" s="70"/>
      <c r="D37" s="70"/>
      <c r="E37" s="70"/>
      <c r="F37" s="70"/>
      <c r="G37" s="70"/>
      <c r="H37" s="70"/>
      <c r="I37" s="70"/>
      <c r="J37" s="70"/>
      <c r="K37" s="70"/>
      <c r="L37" s="70"/>
      <c r="M37" s="70"/>
      <c r="N37" s="71"/>
      <c r="O37" s="6"/>
    </row>
    <row r="38" spans="1:20" x14ac:dyDescent="0.25">
      <c r="A38" s="29"/>
      <c r="B38" s="6"/>
      <c r="C38" s="6"/>
      <c r="D38" s="6"/>
      <c r="E38" s="6"/>
      <c r="F38" s="6"/>
      <c r="G38" s="6"/>
      <c r="H38" s="6"/>
      <c r="I38" s="6"/>
      <c r="J38" s="6"/>
      <c r="K38" s="6"/>
      <c r="L38" s="6"/>
      <c r="M38" s="6"/>
      <c r="N38" s="6"/>
      <c r="O38" s="6"/>
    </row>
    <row r="39" spans="1:20" ht="19.5" thickBot="1" x14ac:dyDescent="0.3">
      <c r="A39" s="30" t="s">
        <v>75</v>
      </c>
      <c r="B39" s="6"/>
      <c r="C39" s="6"/>
      <c r="D39" s="6"/>
      <c r="E39" s="6"/>
      <c r="F39" s="6"/>
      <c r="G39" s="6"/>
      <c r="H39" s="6"/>
      <c r="I39" s="6"/>
      <c r="J39" s="6"/>
      <c r="K39" s="6"/>
      <c r="L39" s="6"/>
      <c r="M39" s="6"/>
      <c r="N39" s="6"/>
      <c r="O39" s="6"/>
    </row>
    <row r="40" spans="1:20" ht="15" customHeight="1" x14ac:dyDescent="0.25">
      <c r="A40" s="40">
        <v>1</v>
      </c>
      <c r="B40" s="43" t="s">
        <v>76</v>
      </c>
      <c r="C40" s="44"/>
      <c r="D40" s="47" t="s">
        <v>86</v>
      </c>
      <c r="E40" s="48"/>
      <c r="F40" s="48"/>
      <c r="G40" s="48"/>
      <c r="H40" s="48"/>
      <c r="I40" s="48"/>
      <c r="J40" s="48"/>
      <c r="K40" s="48"/>
      <c r="L40" s="48"/>
      <c r="M40" s="48"/>
      <c r="N40" s="49"/>
      <c r="O40" s="28"/>
      <c r="P40" s="4"/>
      <c r="Q40" s="4"/>
      <c r="R40" s="4"/>
      <c r="S40" s="4"/>
      <c r="T40" s="4"/>
    </row>
    <row r="41" spans="1:20" ht="15.75" customHeight="1" thickBot="1" x14ac:dyDescent="0.3">
      <c r="A41" s="41"/>
      <c r="B41" s="45"/>
      <c r="C41" s="46"/>
      <c r="D41" s="50"/>
      <c r="E41" s="51"/>
      <c r="F41" s="51"/>
      <c r="G41" s="51"/>
      <c r="H41" s="51"/>
      <c r="I41" s="51"/>
      <c r="J41" s="51"/>
      <c r="K41" s="51"/>
      <c r="L41" s="51"/>
      <c r="M41" s="51"/>
      <c r="N41" s="52"/>
      <c r="O41" s="28"/>
      <c r="P41" s="4"/>
      <c r="Q41" s="4"/>
      <c r="R41" s="4"/>
      <c r="S41" s="4"/>
      <c r="T41" s="4"/>
    </row>
    <row r="42" spans="1:20" ht="15" customHeight="1" x14ac:dyDescent="0.25">
      <c r="A42" s="41"/>
      <c r="B42" s="53" t="s">
        <v>77</v>
      </c>
      <c r="C42" s="54"/>
      <c r="D42" s="59" t="s">
        <v>85</v>
      </c>
      <c r="E42" s="48"/>
      <c r="F42" s="48"/>
      <c r="G42" s="48"/>
      <c r="H42" s="48"/>
      <c r="I42" s="48"/>
      <c r="J42" s="48"/>
      <c r="K42" s="48"/>
      <c r="L42" s="48"/>
      <c r="M42" s="48"/>
      <c r="N42" s="49"/>
      <c r="O42" s="28"/>
      <c r="P42" s="4"/>
      <c r="Q42" s="4"/>
      <c r="R42" s="4"/>
      <c r="S42" s="4"/>
      <c r="T42" s="4"/>
    </row>
    <row r="43" spans="1:20" x14ac:dyDescent="0.25">
      <c r="A43" s="41"/>
      <c r="B43" s="55"/>
      <c r="C43" s="56"/>
      <c r="D43" s="60"/>
      <c r="E43" s="61"/>
      <c r="F43" s="61"/>
      <c r="G43" s="61"/>
      <c r="H43" s="61"/>
      <c r="I43" s="61"/>
      <c r="J43" s="61"/>
      <c r="K43" s="61"/>
      <c r="L43" s="61"/>
      <c r="M43" s="61"/>
      <c r="N43" s="62"/>
      <c r="O43" s="28"/>
      <c r="P43" s="4"/>
      <c r="Q43" s="4"/>
      <c r="R43" s="4"/>
      <c r="S43" s="4"/>
      <c r="T43" s="4"/>
    </row>
    <row r="44" spans="1:20" ht="106.5" customHeight="1" thickBot="1" x14ac:dyDescent="0.3">
      <c r="A44" s="42"/>
      <c r="B44" s="57"/>
      <c r="C44" s="58"/>
      <c r="D44" s="50"/>
      <c r="E44" s="51"/>
      <c r="F44" s="51"/>
      <c r="G44" s="51"/>
      <c r="H44" s="51"/>
      <c r="I44" s="51"/>
      <c r="J44" s="51"/>
      <c r="K44" s="51"/>
      <c r="L44" s="51"/>
      <c r="M44" s="51"/>
      <c r="N44" s="52"/>
      <c r="O44" s="28"/>
      <c r="P44" s="4"/>
      <c r="Q44" s="4"/>
      <c r="R44" s="4"/>
      <c r="S44" s="4"/>
      <c r="T44" s="4"/>
    </row>
    <row r="45" spans="1:20" ht="15.75" thickBot="1" x14ac:dyDescent="0.3">
      <c r="A45" s="6"/>
      <c r="B45" s="6"/>
      <c r="C45" s="6"/>
      <c r="D45" s="28"/>
      <c r="E45" s="28"/>
      <c r="F45" s="28"/>
      <c r="G45" s="28"/>
      <c r="H45" s="28"/>
      <c r="I45" s="28"/>
      <c r="J45" s="28"/>
      <c r="K45" s="28"/>
      <c r="L45" s="28"/>
      <c r="M45" s="28"/>
      <c r="N45" s="28"/>
      <c r="O45" s="28"/>
      <c r="P45" s="4"/>
      <c r="Q45" s="4"/>
      <c r="R45" s="4"/>
      <c r="S45" s="4"/>
      <c r="T45" s="4"/>
    </row>
    <row r="46" spans="1:20" ht="15" customHeight="1" x14ac:dyDescent="0.25">
      <c r="A46" s="40">
        <v>2</v>
      </c>
      <c r="B46" s="43" t="s">
        <v>76</v>
      </c>
      <c r="C46" s="44"/>
      <c r="D46" s="47" t="s">
        <v>84</v>
      </c>
      <c r="E46" s="48"/>
      <c r="F46" s="48"/>
      <c r="G46" s="48"/>
      <c r="H46" s="48"/>
      <c r="I46" s="48"/>
      <c r="J46" s="48"/>
      <c r="K46" s="48"/>
      <c r="L46" s="48"/>
      <c r="M46" s="48"/>
      <c r="N46" s="49"/>
      <c r="O46" s="28"/>
      <c r="P46" s="4"/>
      <c r="Q46" s="4"/>
      <c r="R46" s="4"/>
      <c r="S46" s="4"/>
      <c r="T46" s="4"/>
    </row>
    <row r="47" spans="1:20" ht="15.75" customHeight="1" thickBot="1" x14ac:dyDescent="0.3">
      <c r="A47" s="41"/>
      <c r="B47" s="45"/>
      <c r="C47" s="46"/>
      <c r="D47" s="50"/>
      <c r="E47" s="51"/>
      <c r="F47" s="51"/>
      <c r="G47" s="51"/>
      <c r="H47" s="51"/>
      <c r="I47" s="51"/>
      <c r="J47" s="51"/>
      <c r="K47" s="51"/>
      <c r="L47" s="51"/>
      <c r="M47" s="51"/>
      <c r="N47" s="52"/>
      <c r="O47" s="28"/>
      <c r="P47" s="4"/>
      <c r="Q47" s="4"/>
      <c r="R47" s="4"/>
      <c r="S47" s="4"/>
      <c r="T47" s="4"/>
    </row>
    <row r="48" spans="1:20" ht="15" customHeight="1" x14ac:dyDescent="0.25">
      <c r="A48" s="41"/>
      <c r="B48" s="53" t="s">
        <v>77</v>
      </c>
      <c r="C48" s="54"/>
      <c r="D48" s="59" t="s">
        <v>83</v>
      </c>
      <c r="E48" s="48"/>
      <c r="F48" s="48"/>
      <c r="G48" s="48"/>
      <c r="H48" s="48"/>
      <c r="I48" s="48"/>
      <c r="J48" s="48"/>
      <c r="K48" s="48"/>
      <c r="L48" s="48"/>
      <c r="M48" s="48"/>
      <c r="N48" s="49"/>
      <c r="O48" s="28"/>
      <c r="P48" s="4"/>
      <c r="Q48" s="4"/>
      <c r="R48" s="4"/>
      <c r="S48" s="4"/>
      <c r="T48" s="4"/>
    </row>
    <row r="49" spans="1:20" x14ac:dyDescent="0.25">
      <c r="A49" s="41"/>
      <c r="B49" s="55"/>
      <c r="C49" s="56"/>
      <c r="D49" s="60"/>
      <c r="E49" s="61"/>
      <c r="F49" s="61"/>
      <c r="G49" s="61"/>
      <c r="H49" s="61"/>
      <c r="I49" s="61"/>
      <c r="J49" s="61"/>
      <c r="K49" s="61"/>
      <c r="L49" s="61"/>
      <c r="M49" s="61"/>
      <c r="N49" s="62"/>
      <c r="O49" s="28"/>
      <c r="P49" s="4"/>
      <c r="Q49" s="4"/>
      <c r="R49" s="4"/>
      <c r="S49" s="4"/>
      <c r="T49" s="4"/>
    </row>
    <row r="50" spans="1:20" ht="108.75" customHeight="1" thickBot="1" x14ac:dyDescent="0.3">
      <c r="A50" s="42"/>
      <c r="B50" s="57"/>
      <c r="C50" s="58"/>
      <c r="D50" s="50"/>
      <c r="E50" s="51"/>
      <c r="F50" s="51"/>
      <c r="G50" s="51"/>
      <c r="H50" s="51"/>
      <c r="I50" s="51"/>
      <c r="J50" s="51"/>
      <c r="K50" s="51"/>
      <c r="L50" s="51"/>
      <c r="M50" s="51"/>
      <c r="N50" s="52"/>
      <c r="O50" s="28"/>
      <c r="P50" s="4"/>
      <c r="Q50" s="4"/>
      <c r="R50" s="4"/>
      <c r="S50" s="4"/>
      <c r="T50" s="4"/>
    </row>
    <row r="51" spans="1:20" x14ac:dyDescent="0.25">
      <c r="A51" s="6"/>
      <c r="B51" s="6"/>
      <c r="C51" s="6"/>
      <c r="D51" s="28"/>
      <c r="E51" s="28"/>
      <c r="F51" s="28"/>
      <c r="G51" s="28"/>
      <c r="H51" s="28"/>
      <c r="I51" s="28"/>
      <c r="J51" s="28"/>
      <c r="K51" s="28"/>
      <c r="L51" s="28"/>
      <c r="M51" s="28"/>
      <c r="N51" s="28"/>
      <c r="O51" s="28"/>
      <c r="P51" s="4"/>
      <c r="Q51" s="4"/>
      <c r="R51" s="4"/>
      <c r="S51" s="4"/>
      <c r="T51" s="4"/>
    </row>
    <row r="52" spans="1:20" ht="15" customHeight="1" x14ac:dyDescent="0.25">
      <c r="A52" s="40">
        <v>3</v>
      </c>
      <c r="B52" s="43" t="s">
        <v>76</v>
      </c>
      <c r="C52" s="44"/>
      <c r="D52" s="47" t="s">
        <v>82</v>
      </c>
      <c r="E52" s="48"/>
      <c r="F52" s="48"/>
      <c r="G52" s="48"/>
      <c r="H52" s="48"/>
      <c r="I52" s="48"/>
      <c r="J52" s="48"/>
      <c r="K52" s="48"/>
      <c r="L52" s="48"/>
      <c r="M52" s="48"/>
      <c r="N52" s="49"/>
      <c r="O52" s="28"/>
      <c r="P52" s="4"/>
      <c r="Q52" s="4"/>
      <c r="R52" s="4"/>
      <c r="S52" s="4"/>
      <c r="T52" s="4"/>
    </row>
    <row r="53" spans="1:20" ht="15.75" customHeight="1" x14ac:dyDescent="0.25">
      <c r="A53" s="41"/>
      <c r="B53" s="45"/>
      <c r="C53" s="46"/>
      <c r="D53" s="50"/>
      <c r="E53" s="51"/>
      <c r="F53" s="51"/>
      <c r="G53" s="51"/>
      <c r="H53" s="51"/>
      <c r="I53" s="51"/>
      <c r="J53" s="51"/>
      <c r="K53" s="51"/>
      <c r="L53" s="51"/>
      <c r="M53" s="51"/>
      <c r="N53" s="52"/>
      <c r="O53" s="28"/>
      <c r="P53" s="4"/>
      <c r="Q53" s="4"/>
      <c r="R53" s="4"/>
      <c r="S53" s="4"/>
      <c r="T53" s="4"/>
    </row>
    <row r="54" spans="1:20" ht="15" customHeight="1" x14ac:dyDescent="0.25">
      <c r="A54" s="41"/>
      <c r="B54" s="53" t="s">
        <v>77</v>
      </c>
      <c r="C54" s="54"/>
      <c r="D54" s="59" t="s">
        <v>79</v>
      </c>
      <c r="E54" s="48"/>
      <c r="F54" s="48"/>
      <c r="G54" s="48"/>
      <c r="H54" s="48"/>
      <c r="I54" s="48"/>
      <c r="J54" s="48"/>
      <c r="K54" s="48"/>
      <c r="L54" s="48"/>
      <c r="M54" s="48"/>
      <c r="N54" s="49"/>
      <c r="O54" s="28"/>
      <c r="P54" s="4"/>
      <c r="Q54" s="4"/>
      <c r="R54" s="4"/>
      <c r="S54" s="4"/>
      <c r="T54" s="4"/>
    </row>
    <row r="55" spans="1:20" x14ac:dyDescent="0.25">
      <c r="A55" s="41"/>
      <c r="B55" s="55"/>
      <c r="C55" s="56"/>
      <c r="D55" s="60"/>
      <c r="E55" s="61"/>
      <c r="F55" s="61"/>
      <c r="G55" s="61"/>
      <c r="H55" s="61"/>
      <c r="I55" s="61"/>
      <c r="J55" s="61"/>
      <c r="K55" s="61"/>
      <c r="L55" s="61"/>
      <c r="M55" s="61"/>
      <c r="N55" s="62"/>
      <c r="O55" s="28"/>
      <c r="P55" s="4"/>
      <c r="Q55" s="4"/>
      <c r="R55" s="4"/>
      <c r="S55" s="4"/>
      <c r="T55" s="4"/>
    </row>
    <row r="56" spans="1:20" ht="84.75" customHeight="1" thickBot="1" x14ac:dyDescent="0.3">
      <c r="A56" s="42"/>
      <c r="B56" s="57"/>
      <c r="C56" s="58"/>
      <c r="D56" s="50"/>
      <c r="E56" s="51"/>
      <c r="F56" s="51"/>
      <c r="G56" s="51"/>
      <c r="H56" s="51"/>
      <c r="I56" s="51"/>
      <c r="J56" s="51"/>
      <c r="K56" s="51"/>
      <c r="L56" s="51"/>
      <c r="M56" s="51"/>
      <c r="N56" s="52"/>
      <c r="O56" s="28"/>
      <c r="P56" s="4"/>
      <c r="Q56" s="4"/>
      <c r="R56" s="4"/>
      <c r="S56" s="4"/>
      <c r="T56" s="4"/>
    </row>
    <row r="57" spans="1:20" x14ac:dyDescent="0.25">
      <c r="A57" s="6"/>
      <c r="B57" s="6"/>
      <c r="C57" s="6"/>
      <c r="D57" s="6"/>
      <c r="E57" s="6"/>
      <c r="F57" s="6"/>
      <c r="G57" s="6"/>
      <c r="H57" s="6"/>
      <c r="I57" s="6"/>
      <c r="J57" s="6"/>
      <c r="K57" s="6"/>
      <c r="L57" s="6"/>
      <c r="M57" s="6"/>
      <c r="N57" s="6"/>
      <c r="O57" s="6"/>
    </row>
    <row r="58" spans="1:20" x14ac:dyDescent="0.25">
      <c r="A58" s="36"/>
      <c r="B58" s="36"/>
      <c r="C58" s="36"/>
      <c r="D58" s="6"/>
      <c r="E58" s="6"/>
      <c r="F58" s="6"/>
      <c r="G58" s="6"/>
      <c r="H58" s="6"/>
      <c r="I58" s="6"/>
      <c r="J58" s="6"/>
      <c r="K58" s="6"/>
      <c r="L58" s="6"/>
      <c r="M58" s="6"/>
      <c r="N58" s="6"/>
      <c r="O58" s="6"/>
    </row>
    <row r="59" spans="1:20" x14ac:dyDescent="0.25">
      <c r="A59" s="6"/>
      <c r="B59" s="6"/>
      <c r="C59" s="6"/>
      <c r="D59" s="6"/>
      <c r="E59" s="6"/>
      <c r="F59" s="6"/>
      <c r="G59" s="6"/>
      <c r="H59" s="6"/>
      <c r="I59" s="6"/>
      <c r="J59" s="6"/>
      <c r="K59" s="6"/>
      <c r="L59" s="6"/>
      <c r="M59" s="6"/>
      <c r="N59" s="6"/>
      <c r="O59" s="6"/>
    </row>
    <row r="60" spans="1:20" x14ac:dyDescent="0.25">
      <c r="A60" s="28"/>
      <c r="B60" s="28"/>
      <c r="C60" s="28"/>
      <c r="D60" s="28"/>
      <c r="E60" s="28"/>
      <c r="F60" s="28"/>
      <c r="G60" s="28"/>
      <c r="H60" s="28"/>
      <c r="I60" s="28"/>
      <c r="J60" s="28"/>
      <c r="K60" s="28"/>
      <c r="L60" s="28"/>
      <c r="M60" s="28"/>
      <c r="N60" s="28"/>
      <c r="O60" s="28"/>
      <c r="P60" s="4"/>
      <c r="Q60" s="4"/>
      <c r="R60" s="4"/>
      <c r="S60" s="4"/>
      <c r="T60" s="4"/>
    </row>
    <row r="61" spans="1:20" x14ac:dyDescent="0.25">
      <c r="A61" s="4"/>
      <c r="B61" s="4"/>
      <c r="C61" s="4"/>
      <c r="D61" s="4"/>
      <c r="E61" s="4"/>
      <c r="F61" s="4"/>
      <c r="G61" s="4"/>
      <c r="H61" s="4"/>
      <c r="I61" s="4"/>
      <c r="J61" s="4"/>
      <c r="K61" s="4"/>
      <c r="L61" s="4"/>
      <c r="M61" s="4"/>
      <c r="N61" s="4"/>
      <c r="O61" s="4"/>
      <c r="P61" s="4"/>
      <c r="Q61" s="4"/>
      <c r="R61" s="4"/>
      <c r="S61" s="4"/>
      <c r="T61" s="4"/>
    </row>
    <row r="62" spans="1:20" x14ac:dyDescent="0.25">
      <c r="A62" s="4"/>
      <c r="B62" s="4"/>
      <c r="C62" s="4"/>
      <c r="D62" s="4"/>
      <c r="E62" s="4"/>
      <c r="F62" s="4"/>
      <c r="G62" s="4"/>
      <c r="H62" s="4"/>
      <c r="I62" s="4"/>
      <c r="J62" s="4"/>
      <c r="K62" s="4"/>
      <c r="L62" s="4"/>
      <c r="M62" s="4"/>
      <c r="N62" s="4"/>
      <c r="O62" s="4"/>
      <c r="P62" s="4"/>
      <c r="Q62" s="4"/>
      <c r="R62" s="4"/>
      <c r="S62" s="4"/>
      <c r="T62" s="4"/>
    </row>
    <row r="63" spans="1:20" x14ac:dyDescent="0.25">
      <c r="A63" s="4"/>
      <c r="B63" s="4"/>
      <c r="C63" s="4"/>
      <c r="D63" s="4"/>
      <c r="E63" s="4"/>
      <c r="F63" s="4"/>
      <c r="G63" s="4"/>
      <c r="H63" s="4"/>
      <c r="I63" s="4"/>
      <c r="J63" s="4"/>
      <c r="K63" s="4"/>
      <c r="L63" s="4"/>
      <c r="M63" s="4"/>
      <c r="N63" s="4"/>
      <c r="O63" s="4"/>
      <c r="P63" s="4"/>
      <c r="Q63" s="4"/>
      <c r="R63" s="4"/>
      <c r="S63" s="4"/>
      <c r="T63" s="4"/>
    </row>
    <row r="64" spans="1:20" x14ac:dyDescent="0.25">
      <c r="A64" s="4"/>
      <c r="B64" s="4"/>
      <c r="C64" s="4"/>
      <c r="D64" s="4"/>
      <c r="E64" s="4"/>
      <c r="F64" s="4"/>
      <c r="G64" s="4"/>
      <c r="H64" s="4"/>
      <c r="I64" s="4"/>
      <c r="J64" s="4"/>
      <c r="K64" s="4"/>
      <c r="L64" s="4"/>
      <c r="M64" s="4"/>
      <c r="N64" s="4"/>
      <c r="O64" s="4"/>
      <c r="P64" s="4"/>
      <c r="Q64" s="4"/>
      <c r="R64" s="4"/>
      <c r="S64" s="4"/>
      <c r="T64" s="4"/>
    </row>
    <row r="65" spans="1:20" x14ac:dyDescent="0.25">
      <c r="A65" s="4"/>
      <c r="B65" s="4"/>
      <c r="C65" s="4"/>
      <c r="D65" s="4"/>
      <c r="E65" s="4"/>
      <c r="F65" s="4"/>
      <c r="G65" s="4"/>
      <c r="H65" s="4"/>
      <c r="I65" s="4"/>
      <c r="J65" s="4"/>
      <c r="K65" s="4"/>
      <c r="L65" s="4"/>
      <c r="M65" s="4"/>
      <c r="N65" s="4"/>
      <c r="O65" s="4"/>
      <c r="P65" s="4"/>
      <c r="Q65" s="4"/>
      <c r="R65" s="4"/>
      <c r="S65" s="4"/>
      <c r="T65" s="4"/>
    </row>
    <row r="66" spans="1:20" x14ac:dyDescent="0.25">
      <c r="A66" s="4"/>
      <c r="B66" s="4"/>
      <c r="C66" s="4"/>
      <c r="D66" s="4"/>
      <c r="E66" s="4"/>
      <c r="F66" s="4"/>
      <c r="G66" s="4"/>
      <c r="H66" s="4"/>
      <c r="I66" s="4"/>
      <c r="J66" s="4"/>
      <c r="K66" s="4"/>
      <c r="L66" s="4"/>
      <c r="M66" s="4"/>
      <c r="N66" s="4"/>
      <c r="O66" s="4"/>
      <c r="P66" s="4"/>
      <c r="Q66" s="4"/>
      <c r="R66" s="4"/>
      <c r="S66" s="4"/>
      <c r="T66" s="4"/>
    </row>
    <row r="67" spans="1:20" x14ac:dyDescent="0.25">
      <c r="A67" s="4"/>
      <c r="B67" s="4"/>
      <c r="C67" s="4"/>
      <c r="D67" s="4"/>
      <c r="E67" s="4"/>
      <c r="F67" s="4"/>
      <c r="G67" s="4"/>
      <c r="H67" s="4"/>
      <c r="I67" s="4"/>
      <c r="J67" s="4"/>
      <c r="K67" s="4"/>
      <c r="L67" s="4"/>
      <c r="M67" s="4"/>
      <c r="N67" s="4"/>
      <c r="O67" s="4"/>
      <c r="P67" s="4"/>
      <c r="Q67" s="4"/>
      <c r="R67" s="4"/>
      <c r="S67" s="4"/>
      <c r="T67" s="4"/>
    </row>
    <row r="68" spans="1:20" x14ac:dyDescent="0.25">
      <c r="A68" s="4"/>
      <c r="B68" s="4"/>
      <c r="C68" s="4"/>
      <c r="D68" s="4"/>
      <c r="E68" s="4"/>
      <c r="F68" s="4"/>
      <c r="G68" s="4"/>
      <c r="H68" s="4"/>
      <c r="I68" s="4"/>
      <c r="J68" s="4"/>
      <c r="K68" s="4"/>
      <c r="L68" s="4"/>
      <c r="M68" s="4"/>
      <c r="N68" s="4"/>
      <c r="O68" s="4"/>
      <c r="P68" s="4"/>
      <c r="Q68" s="4"/>
      <c r="R68" s="4"/>
      <c r="S68" s="4"/>
      <c r="T68" s="4"/>
    </row>
  </sheetData>
  <mergeCells count="93">
    <mergeCell ref="A2:A3"/>
    <mergeCell ref="B2:D3"/>
    <mergeCell ref="F2:I3"/>
    <mergeCell ref="K2:N3"/>
    <mergeCell ref="B4:D4"/>
    <mergeCell ref="F4:G4"/>
    <mergeCell ref="H4:I4"/>
    <mergeCell ref="B5:D5"/>
    <mergeCell ref="F5:G5"/>
    <mergeCell ref="H5:I5"/>
    <mergeCell ref="A7:I7"/>
    <mergeCell ref="A8:B8"/>
    <mergeCell ref="C8:D8"/>
    <mergeCell ref="F8:G8"/>
    <mergeCell ref="H8:I8"/>
    <mergeCell ref="A9:B9"/>
    <mergeCell ref="C9:D9"/>
    <mergeCell ref="F9:G9"/>
    <mergeCell ref="H9:I9"/>
    <mergeCell ref="A10:B10"/>
    <mergeCell ref="C10:D10"/>
    <mergeCell ref="F10:G10"/>
    <mergeCell ref="H10:I10"/>
    <mergeCell ref="A11:B11"/>
    <mergeCell ref="C11:D11"/>
    <mergeCell ref="F11:G11"/>
    <mergeCell ref="H11:I11"/>
    <mergeCell ref="A12:D13"/>
    <mergeCell ref="M12:M13"/>
    <mergeCell ref="F13:I14"/>
    <mergeCell ref="A14:C14"/>
    <mergeCell ref="K14:L14"/>
    <mergeCell ref="A15:C15"/>
    <mergeCell ref="F15:H15"/>
    <mergeCell ref="K15:L15"/>
    <mergeCell ref="K12:L13"/>
    <mergeCell ref="A16:C16"/>
    <mergeCell ref="F16:H16"/>
    <mergeCell ref="K16:L16"/>
    <mergeCell ref="A17:C17"/>
    <mergeCell ref="F17:H17"/>
    <mergeCell ref="K17:L17"/>
    <mergeCell ref="A18:D19"/>
    <mergeCell ref="F18:H18"/>
    <mergeCell ref="K18:L18"/>
    <mergeCell ref="F19:H19"/>
    <mergeCell ref="A20:B20"/>
    <mergeCell ref="C20:D20"/>
    <mergeCell ref="F20:H20"/>
    <mergeCell ref="K20:L21"/>
    <mergeCell ref="M20:M21"/>
    <mergeCell ref="A21:B21"/>
    <mergeCell ref="C21:D21"/>
    <mergeCell ref="F21:H21"/>
    <mergeCell ref="A22:B22"/>
    <mergeCell ref="C22:D22"/>
    <mergeCell ref="K22:L22"/>
    <mergeCell ref="A23:B23"/>
    <mergeCell ref="C23:D23"/>
    <mergeCell ref="K23:L23"/>
    <mergeCell ref="A24:B24"/>
    <mergeCell ref="C24:D24"/>
    <mergeCell ref="K24:L24"/>
    <mergeCell ref="A25:B25"/>
    <mergeCell ref="C25:D25"/>
    <mergeCell ref="K25:L25"/>
    <mergeCell ref="A26:B26"/>
    <mergeCell ref="C26:D26"/>
    <mergeCell ref="K26:L26"/>
    <mergeCell ref="B42:C44"/>
    <mergeCell ref="D42:N44"/>
    <mergeCell ref="A27:B27"/>
    <mergeCell ref="C27:D27"/>
    <mergeCell ref="K27:L27"/>
    <mergeCell ref="A28:B28"/>
    <mergeCell ref="C28:D28"/>
    <mergeCell ref="K28:L28"/>
    <mergeCell ref="A58:C58"/>
    <mergeCell ref="K1:N1"/>
    <mergeCell ref="A46:A50"/>
    <mergeCell ref="B46:C47"/>
    <mergeCell ref="D46:N47"/>
    <mergeCell ref="B48:C50"/>
    <mergeCell ref="D48:N50"/>
    <mergeCell ref="A52:A56"/>
    <mergeCell ref="B52:C53"/>
    <mergeCell ref="D52:N53"/>
    <mergeCell ref="B54:C56"/>
    <mergeCell ref="D54:N56"/>
    <mergeCell ref="A31:N37"/>
    <mergeCell ref="A40:A44"/>
    <mergeCell ref="B40:C41"/>
    <mergeCell ref="D40:N4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Dawn Corley</dc:creator>
  <cp:keywords/>
  <dc:description/>
  <cp:lastModifiedBy>Jason Cole</cp:lastModifiedBy>
  <cp:revision/>
  <dcterms:created xsi:type="dcterms:W3CDTF">2024-11-15T16:32:19Z</dcterms:created>
  <dcterms:modified xsi:type="dcterms:W3CDTF">2026-03-10T20:17:22Z</dcterms:modified>
  <cp:category/>
  <cp:contentStatus/>
</cp:coreProperties>
</file>