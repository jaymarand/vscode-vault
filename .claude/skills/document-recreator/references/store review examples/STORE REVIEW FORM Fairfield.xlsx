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soncole\Documents\"/>
    </mc:Choice>
  </mc:AlternateContent>
  <xr:revisionPtr revIDLastSave="0" documentId="8_{BADBDE90-897A-4C02-9D46-76A7328AD722}" xr6:coauthVersionLast="47" xr6:coauthVersionMax="47" xr10:uidLastSave="{00000000-0000-0000-0000-000000000000}"/>
  <bookViews>
    <workbookView xWindow="8664" yWindow="1164" windowWidth="13824" windowHeight="12168" xr2:uid="{FDFDB9D3-9731-4906-95BB-D332DBEB8798}"/>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N28" i="1" l="1"/>
  <c r="N27" i="1"/>
  <c r="N26" i="1"/>
  <c r="N25" i="1"/>
  <c r="N24" i="1"/>
  <c r="N23" i="1"/>
  <c r="N18" i="1"/>
  <c r="N17" i="1"/>
  <c r="N16" i="1"/>
  <c r="N15" i="1"/>
</calcChain>
</file>

<file path=xl/sharedStrings.xml><?xml version="1.0" encoding="utf-8"?>
<sst xmlns="http://schemas.openxmlformats.org/spreadsheetml/2006/main" count="113" uniqueCount="87">
  <si>
    <t>STORE REVIEW</t>
  </si>
  <si>
    <t xml:space="preserve"> </t>
  </si>
  <si>
    <t xml:space="preserve">Store </t>
  </si>
  <si>
    <t>Training</t>
  </si>
  <si>
    <t>General Metrics</t>
  </si>
  <si>
    <t xml:space="preserve">Date </t>
  </si>
  <si>
    <t>New Hires Met</t>
  </si>
  <si>
    <t># Rolling Racks Checked</t>
  </si>
  <si>
    <t>Date Previous Evaluation</t>
  </si>
  <si>
    <t xml:space="preserve">Number of New Hires </t>
  </si>
  <si>
    <t>Verifed Huddles                   Complete or Incomplete</t>
  </si>
  <si>
    <t># Rolling Rack Items Sent Back</t>
  </si>
  <si>
    <t>Hang Count Variance</t>
  </si>
  <si>
    <t>Ecommerce % +/- to Budget</t>
  </si>
  <si>
    <t>Tote Count Variance</t>
  </si>
  <si>
    <t>Rev % +/- to Budget</t>
  </si>
  <si>
    <t>Average Transaction +/- to LY</t>
  </si>
  <si>
    <t>Number of Ecommerce totes sent MTD</t>
  </si>
  <si>
    <t>Rev % +/- to LY</t>
  </si>
  <si>
    <t>Labor % to Budget</t>
  </si>
  <si>
    <t>Is Truck Loaded Correctly</t>
  </si>
  <si>
    <t># Totes Checked</t>
  </si>
  <si>
    <t>Donation Growth % to LY</t>
  </si>
  <si>
    <t>Annualized Employee Turnover</t>
  </si>
  <si>
    <t># Tote Items Sent Back</t>
  </si>
  <si>
    <t>30 Day Sell Through %</t>
  </si>
  <si>
    <t># of Open Positions</t>
  </si>
  <si>
    <r>
      <rPr>
        <b/>
        <sz val="11"/>
        <color rgb="FF000000"/>
        <rFont val="Aptos Narrow"/>
        <family val="2"/>
        <scheme val="minor"/>
      </rPr>
      <t xml:space="preserve">Merchandising                                       </t>
    </r>
    <r>
      <rPr>
        <b/>
        <sz val="11"/>
        <color rgb="FFFF0000"/>
        <rFont val="Aptos Narrow"/>
        <family val="2"/>
        <scheme val="minor"/>
      </rPr>
      <t>Enter Yes or No</t>
    </r>
  </si>
  <si>
    <t>Error Rate Check Racks</t>
  </si>
  <si>
    <t>Enter # (check a minimum of 4 racks)</t>
  </si>
  <si>
    <t>% Auto Calc</t>
  </si>
  <si>
    <t>Wares Shelves Full &amp; Presented Well</t>
  </si>
  <si>
    <t>No</t>
  </si>
  <si>
    <t>Total # of Items Checked</t>
  </si>
  <si>
    <t>Racks Full (70 - 80 items per 5 ft)</t>
  </si>
  <si>
    <t>Women's Rack</t>
  </si>
  <si>
    <t># Wrong Price</t>
  </si>
  <si>
    <t>Shoe Racks Full</t>
  </si>
  <si>
    <t>Men's Rack</t>
  </si>
  <si>
    <t>Yes</t>
  </si>
  <si>
    <t># Defective</t>
  </si>
  <si>
    <t>End Caps Full &amp; Presented Well</t>
  </si>
  <si>
    <t>Kid's Rack</t>
  </si>
  <si>
    <t># Wrong Category/Size</t>
  </si>
  <si>
    <r>
      <rPr>
        <b/>
        <sz val="11"/>
        <color rgb="FF000000"/>
        <rFont val="Aptos Narrow"/>
        <family val="2"/>
        <scheme val="minor"/>
      </rPr>
      <t xml:space="preserve">Store Cleanliness                            </t>
    </r>
    <r>
      <rPr>
        <b/>
        <sz val="11"/>
        <color rgb="FFFF0000"/>
        <rFont val="Aptos Narrow"/>
        <family val="2"/>
        <scheme val="minor"/>
      </rPr>
      <t xml:space="preserve">      Enter Yes or No</t>
    </r>
  </si>
  <si>
    <t>Wares</t>
  </si>
  <si>
    <t xml:space="preserve"> Total Error Rate Rack</t>
  </si>
  <si>
    <t>Shoes</t>
  </si>
  <si>
    <t>Parking Lot</t>
  </si>
  <si>
    <t>Books</t>
  </si>
  <si>
    <t>Error Rate Check Container Labels</t>
  </si>
  <si>
    <t>Enter # (all accessible visible containers)</t>
  </si>
  <si>
    <t>Donation Area</t>
  </si>
  <si>
    <t>E&amp;M</t>
  </si>
  <si>
    <t>Windows / Entry</t>
  </si>
  <si>
    <t>Total # Containers Checked</t>
  </si>
  <si>
    <t>Cash Wraps</t>
  </si>
  <si>
    <t>Not Labeled</t>
  </si>
  <si>
    <t>Floor / Racks</t>
  </si>
  <si>
    <t>Labeled as Salvage but is Raw</t>
  </si>
  <si>
    <t>Wares / Shelves</t>
  </si>
  <si>
    <t>Labeled as Raw but is Salvage</t>
  </si>
  <si>
    <t>Fitting Rooms</t>
  </si>
  <si>
    <t>Labeled as Soft but is Hard</t>
  </si>
  <si>
    <t>Production Room</t>
  </si>
  <si>
    <t>Labeled as Hard but is Soft</t>
  </si>
  <si>
    <t>Offices</t>
  </si>
  <si>
    <t>Total Error Rate Container Labels</t>
  </si>
  <si>
    <t>General Store Comments</t>
  </si>
  <si>
    <t>Three Most Important Priorities</t>
  </si>
  <si>
    <t>Opportunity</t>
  </si>
  <si>
    <t>Action Plan            (Smart Goal)</t>
  </si>
  <si>
    <t>Fairfield</t>
  </si>
  <si>
    <t>yes</t>
  </si>
  <si>
    <t>Zach, Tammy, Lorne, Greg, Lisa</t>
  </si>
  <si>
    <t>Yes/ 0 Missing</t>
  </si>
  <si>
    <t xml:space="preserve">Yes </t>
  </si>
  <si>
    <t>Evaluation Completed by: Kimra Cappelletty</t>
  </si>
  <si>
    <t xml:space="preserve">Monthly financials such as January show we were 10k+ on payroll. Immediately stop all OT. Use leads in cashier positions for the morning to alleviate hours. Production teams scheduled appropriately. Cross-train employees to take on other roles as needed. Staffing levels need to meet budgets. </t>
  </si>
  <si>
    <t xml:space="preserve">Pre-Visit Data
</t>
  </si>
  <si>
    <r>
      <rPr>
        <b/>
        <sz val="11"/>
        <color rgb="FF000000"/>
        <rFont val="Aptos Narrow"/>
        <family val="2"/>
        <scheme val="minor"/>
      </rPr>
      <t>Pull/Rotation Validation                                Enter</t>
    </r>
    <r>
      <rPr>
        <b/>
        <sz val="11"/>
        <color rgb="FFFF0000"/>
        <rFont val="Aptos Narrow"/>
        <family val="2"/>
        <scheme val="minor"/>
      </rPr>
      <t xml:space="preserve"> </t>
    </r>
  </si>
  <si>
    <t>Reduce unit goal deficit by 50% by 3/18/26.  Currently 11,404 pieces.  Continued from previous visits.</t>
  </si>
  <si>
    <t>Kimra will adjust the schedule so that all softlines production staff are working the same schedule.  All team members will be held to performance and attendance standards, and team members will be recast in appropriate roles.  Nadeisha will be moved to Fairfield to oversee softlines and production.   Low productivity issues will be performance managed.</t>
  </si>
  <si>
    <t>The store is clean and well organized overall. The donation door area was clear and mostly structured; however, Hardlines has drifted from the standard layout, and while Softlines is orderly, product is not consistently placed according to expected standards. Outrigger presentation is current, with all images properly rotated.
MTD performance shows 7 of 9 departments meeting budget, led by strong results in Books and Furniture. The primary opportunities are in Rack Goods (-6%) and Wares (-32.6%), which are the largest drivers of the current shortfall. The Book department was largely up to date, with the exception of some January 21 product remaining on an endcap.
Team members were observed working within their assigned areas; however, there are ongoing execution concerns in Production. Process discipline is inconsistent, including continued hanging into incorrect price points after prior coaching. Several racks counted toward prior-day production were found untagged, indicating accuracy and accountability gaps.
Softlines inventory remains a significant opportunity, with a 11,404-piece deficit on the sales floor. Additionally, Men’s and Kids’ Shoes were observed out of date, impacting floor freshness and sell-through.
Immediate focus should be on reinforcing production process compliance, improving tagging accuracy, restoring Softlines floor depth, and ensuring Hardlines and Softlines layout standards are maintained to support sales recovery.</t>
  </si>
  <si>
    <t xml:space="preserve">Achieve Daily/weekly/monthly revenue and totes shipments consistently by EOM.  </t>
  </si>
  <si>
    <t>Kristen will oversee all ecommerce operations including manifesting totes.  Transportation has scheduled  a regular run every Monday.  Kimra will ensure the team is following the process and selecting the correct items for ecommerce.</t>
  </si>
  <si>
    <t>Payroll Reduction.  Current Labor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</si>
</sst>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0.0%"/>
  </numFmts>
  <fonts count="22"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20"/>
      <color theme="1"/>
      <name val="Aptos Narrow"/>
      <family val="2"/>
      <scheme val="minor"/>
    </font>
    <font>
      <b/>
      <sz val="16"/>
      <color theme="1"/>
      <name val="Aptos Narrow"/>
      <family val="2"/>
      <scheme val="minor"/>
    </font>
    <font>
      <b/>
      <sz val="14"/>
      <color theme="1"/>
      <name val="Aptos Narrow"/>
      <family val="2"/>
      <scheme val="minor"/>
    </font>
    <font>
      <b/>
      <sz val="9"/>
      <color theme="1"/>
      <name val="Aptos Narrow"/>
      <family val="2"/>
      <scheme val="minor"/>
    </font>
    <font>
      <sz val="9"/>
      <color theme="1"/>
      <name val="Aptos Narrow"/>
      <family val="2"/>
      <scheme val="minor"/>
    </font>
    <font>
      <b/>
      <sz val="11"/>
      <color rgb="FFFF0000"/>
      <name val="Aptos Narrow"/>
      <family val="2"/>
      <scheme val="minor"/>
    </font>
    <font>
      <b/>
      <sz val="11"/>
      <name val="Aptos Narrow"/>
      <family val="2"/>
      <scheme val="minor"/>
    </font>
    <font>
      <b/>
      <sz val="18"/>
      <color theme="1"/>
      <name val="Aptos Narrow"/>
      <family val="2"/>
      <scheme val="minor"/>
    </font>
    <font>
      <b/>
      <sz val="12"/>
      <color rgb="FFFF0000"/>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rgb="FF000000"/>
      <name val="Aptos Narrow"/>
      <family val="2"/>
      <scheme val="minor"/>
    </font>
    <font>
      <b/>
      <sz val="11"/>
      <color theme="1"/>
      <name val="Aptos Narrow"/>
      <family val="2"/>
      <scheme val="minor"/>
    </font>
    <font>
      <b/>
      <sz val="10"/>
      <color theme="1"/>
      <name val="Aptos Narrow"/>
      <family val="2"/>
      <scheme val="minor"/>
    </font>
    <font>
      <b/>
      <sz val="9"/>
      <color rgb="FFFF0000"/>
      <name val="Aptos Narrow"/>
      <family val="2"/>
      <scheme val="minor"/>
    </font>
    <font>
      <sz val="11"/>
      <color theme="6"/>
      <name val="Aptos Narrow"/>
      <family val="2"/>
      <scheme val="minor"/>
    </font>
    <font>
      <sz val="11"/>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FFEB9C"/>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s>
  <cellStyleXfs count="5">
    <xf numFmtId="0" fontId="0" fillId="0" borderId="0"/>
    <xf numFmtId="9" fontId="1" fillId="0" borderId="0" applyFon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5" fillId="6" borderId="0" applyNumberFormat="0" applyBorder="0" applyAlignment="0" applyProtection="0"/>
  </cellStyleXfs>
  <cellXfs count="164">
    <xf numFmtId="0" fontId="0" fillId="0" borderId="0" xfId="0"/>
    <xf numFmtId="0" fontId="4"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7" fillId="0" borderId="0" xfId="0" applyFont="1" applyAlignment="1">
      <alignment horizontal="center" vertical="center"/>
    </xf>
    <xf numFmtId="0" fontId="7" fillId="0" borderId="9" xfId="0" applyFont="1" applyBorder="1" applyAlignment="1">
      <alignment horizontal="center" vertical="center"/>
    </xf>
    <xf numFmtId="9" fontId="7" fillId="0" borderId="9" xfId="1" applyFont="1" applyFill="1" applyBorder="1" applyAlignment="1">
      <alignment horizontal="center" vertical="center"/>
    </xf>
    <xf numFmtId="2" fontId="3" fillId="0" borderId="0" xfId="0" applyNumberFormat="1" applyFont="1" applyAlignment="1">
      <alignment horizontal="center" vertical="center"/>
    </xf>
    <xf numFmtId="0" fontId="7" fillId="0" borderId="9" xfId="0" applyFont="1" applyBorder="1" applyAlignment="1">
      <alignment horizontal="center" vertical="center" wrapText="1"/>
    </xf>
    <xf numFmtId="0" fontId="7" fillId="0" borderId="0" xfId="0" applyFont="1" applyAlignment="1">
      <alignment horizontal="center" vertical="center" wrapText="1"/>
    </xf>
    <xf numFmtId="14" fontId="7" fillId="0" borderId="0" xfId="0" applyNumberFormat="1" applyFont="1" applyAlignment="1">
      <alignment horizontal="center" vertical="center"/>
    </xf>
    <xf numFmtId="0" fontId="8" fillId="0" borderId="0" xfId="0" applyFont="1" applyAlignment="1">
      <alignment horizontal="center" vertical="center"/>
    </xf>
    <xf numFmtId="9" fontId="7" fillId="0" borderId="9" xfId="1"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0" borderId="1" xfId="0" applyFont="1" applyBorder="1" applyAlignment="1">
      <alignment horizontal="center" vertical="center"/>
    </xf>
    <xf numFmtId="0" fontId="3" fillId="0" borderId="9" xfId="0" applyFont="1" applyBorder="1" applyAlignment="1">
      <alignment horizontal="center" vertical="center"/>
    </xf>
    <xf numFmtId="164" fontId="3" fillId="0" borderId="9" xfId="1" applyNumberFormat="1" applyFont="1" applyFill="1" applyBorder="1" applyAlignment="1">
      <alignment horizontal="center" vertical="center"/>
    </xf>
    <xf numFmtId="9" fontId="10" fillId="0" borderId="9" xfId="1" applyFont="1" applyFill="1" applyBorder="1" applyAlignment="1">
      <alignment horizontal="center" vertical="center"/>
    </xf>
    <xf numFmtId="164" fontId="3" fillId="0" borderId="0" xfId="1" applyNumberFormat="1" applyFont="1" applyFill="1" applyBorder="1" applyAlignment="1">
      <alignment horizontal="center" vertical="center"/>
    </xf>
    <xf numFmtId="164" fontId="3" fillId="0" borderId="4" xfId="1" applyNumberFormat="1" applyFont="1" applyFill="1" applyBorder="1" applyAlignment="1">
      <alignment horizontal="center" vertical="center"/>
    </xf>
    <xf numFmtId="0" fontId="8" fillId="0" borderId="4" xfId="0" applyFont="1" applyBorder="1" applyAlignment="1">
      <alignment horizontal="center" vertical="center"/>
    </xf>
    <xf numFmtId="0" fontId="0" fillId="0" borderId="0" xfId="0" applyAlignment="1">
      <alignment horizontal="center"/>
    </xf>
    <xf numFmtId="9" fontId="3" fillId="2" borderId="12" xfId="1" applyFont="1" applyFill="1" applyBorder="1" applyAlignment="1">
      <alignment horizontal="center" vertical="center"/>
    </xf>
    <xf numFmtId="9" fontId="3" fillId="0" borderId="12" xfId="1" applyFont="1" applyFill="1" applyBorder="1" applyAlignment="1">
      <alignment horizontal="center" vertical="center"/>
    </xf>
    <xf numFmtId="0" fontId="7" fillId="3" borderId="9" xfId="0" applyFont="1" applyFill="1" applyBorder="1" applyAlignment="1">
      <alignment horizontal="center" vertical="center"/>
    </xf>
    <xf numFmtId="0" fontId="3" fillId="0" borderId="0" xfId="0" applyFont="1" applyAlignment="1">
      <alignment horizontal="left" vertical="top"/>
    </xf>
    <xf numFmtId="0" fontId="3" fillId="2" borderId="9" xfId="0" applyFont="1" applyFill="1" applyBorder="1" applyAlignment="1">
      <alignment horizontal="center" vertical="center"/>
    </xf>
    <xf numFmtId="0" fontId="7" fillId="2" borderId="9" xfId="0" applyFont="1" applyFill="1" applyBorder="1" applyAlignment="1">
      <alignment horizontal="center" vertical="center"/>
    </xf>
    <xf numFmtId="0" fontId="18" fillId="2" borderId="0" xfId="0" applyFont="1" applyFill="1" applyAlignment="1">
      <alignment horizontal="center" vertical="center"/>
    </xf>
    <xf numFmtId="9" fontId="14" fillId="2" borderId="9" xfId="3" applyNumberFormat="1" applyFill="1" applyBorder="1" applyAlignment="1">
      <alignment horizontal="center" vertical="center" wrapText="1"/>
    </xf>
    <xf numFmtId="0" fontId="14" fillId="2" borderId="9" xfId="3" applyFill="1" applyBorder="1" applyAlignment="1">
      <alignment horizontal="center" vertical="center"/>
    </xf>
    <xf numFmtId="0" fontId="19" fillId="2" borderId="9" xfId="0" applyFont="1" applyFill="1" applyBorder="1" applyAlignment="1">
      <alignment horizontal="center" vertical="center"/>
    </xf>
    <xf numFmtId="0" fontId="0" fillId="2" borderId="9" xfId="0" applyFill="1" applyBorder="1" applyAlignment="1">
      <alignment horizontal="center" vertical="center"/>
    </xf>
    <xf numFmtId="9" fontId="14" fillId="2" borderId="9" xfId="3" applyNumberFormat="1" applyFill="1" applyBorder="1" applyAlignment="1">
      <alignment horizontal="center" vertical="center"/>
    </xf>
    <xf numFmtId="0" fontId="8" fillId="2" borderId="12" xfId="0" applyFont="1" applyFill="1" applyBorder="1" applyAlignment="1">
      <alignment horizontal="center" vertical="center"/>
    </xf>
    <xf numFmtId="0" fontId="7" fillId="2" borderId="12" xfId="0" applyFont="1" applyFill="1" applyBorder="1" applyAlignment="1">
      <alignment horizontal="center" vertical="center"/>
    </xf>
    <xf numFmtId="0" fontId="8" fillId="2" borderId="9"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0" xfId="0" applyFont="1" applyFill="1" applyAlignment="1">
      <alignment horizontal="center" vertical="center"/>
    </xf>
    <xf numFmtId="0" fontId="6" fillId="2" borderId="0" xfId="0" applyFont="1" applyFill="1" applyAlignment="1">
      <alignment horizontal="left" vertical="center"/>
    </xf>
    <xf numFmtId="0" fontId="3" fillId="2" borderId="0" xfId="0" applyFont="1" applyFill="1" applyAlignment="1">
      <alignment horizontal="left" vertical="top"/>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6"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4" xfId="0"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0" fillId="0" borderId="8" xfId="0" applyBorder="1" applyAlignment="1">
      <alignment horizontal="center" vertical="center"/>
    </xf>
    <xf numFmtId="0" fontId="3"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14" fontId="9" fillId="2" borderId="10" xfId="0" applyNumberFormat="1" applyFont="1" applyFill="1" applyBorder="1" applyAlignment="1">
      <alignment horizontal="center" vertical="center"/>
    </xf>
    <xf numFmtId="14" fontId="9" fillId="2" borderId="11" xfId="0" applyNumberFormat="1" applyFont="1" applyFill="1" applyBorder="1" applyAlignment="1">
      <alignment horizontal="center" vertical="center"/>
    </xf>
    <xf numFmtId="14" fontId="9" fillId="2" borderId="12" xfId="0" applyNumberFormat="1" applyFont="1" applyFill="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3" fillId="2" borderId="10" xfId="0" applyFont="1" applyFill="1" applyBorder="1" applyAlignment="1">
      <alignment horizontal="center" vertical="center"/>
    </xf>
    <xf numFmtId="0" fontId="0" fillId="2" borderId="12" xfId="0" applyFill="1" applyBorder="1" applyAlignment="1">
      <alignment horizontal="center" vertical="center"/>
    </xf>
    <xf numFmtId="14" fontId="7" fillId="2" borderId="10" xfId="0" applyNumberFormat="1" applyFont="1"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16" fillId="0" borderId="2" xfId="0" applyFont="1" applyBorder="1" applyAlignment="1">
      <alignment horizontal="center" vertical="center" wrapText="1"/>
    </xf>
    <xf numFmtId="0" fontId="0" fillId="0" borderId="11" xfId="0" applyBorder="1" applyAlignment="1">
      <alignment horizontal="center" vertical="center" wrapText="1"/>
    </xf>
    <xf numFmtId="0" fontId="7" fillId="0" borderId="10" xfId="0" applyFont="1" applyBorder="1" applyAlignment="1">
      <alignment horizontal="center" vertical="center" wrapText="1"/>
    </xf>
    <xf numFmtId="0" fontId="8" fillId="0" borderId="12" xfId="0" applyFont="1" applyBorder="1" applyAlignment="1">
      <alignment horizontal="center" vertical="center" wrapText="1"/>
    </xf>
    <xf numFmtId="9" fontId="2" fillId="2" borderId="10" xfId="2" applyNumberFormat="1" applyFont="1" applyFill="1" applyBorder="1" applyAlignment="1">
      <alignment horizontal="center" vertical="center" wrapText="1"/>
    </xf>
    <xf numFmtId="9" fontId="2" fillId="2" borderId="12" xfId="2" applyNumberFormat="1" applyFont="1" applyFill="1" applyBorder="1" applyAlignment="1">
      <alignment horizontal="center" vertical="center" wrapText="1"/>
    </xf>
    <xf numFmtId="0" fontId="0" fillId="0" borderId="12" xfId="0" applyBorder="1" applyAlignment="1">
      <alignment horizontal="center" vertical="center" wrapText="1"/>
    </xf>
    <xf numFmtId="8" fontId="13" fillId="2" borderId="10" xfId="2" applyNumberFormat="1" applyFill="1" applyBorder="1" applyAlignment="1">
      <alignment horizontal="center" vertical="center" wrapText="1"/>
    </xf>
    <xf numFmtId="44" fontId="13" fillId="2" borderId="12" xfId="2" applyNumberFormat="1" applyFill="1" applyBorder="1" applyAlignment="1">
      <alignment horizontal="center" vertical="center" wrapText="1"/>
    </xf>
    <xf numFmtId="9" fontId="20" fillId="2" borderId="10" xfId="3" applyNumberFormat="1" applyFont="1" applyFill="1" applyBorder="1" applyAlignment="1">
      <alignment horizontal="center" vertical="center" wrapText="1"/>
    </xf>
    <xf numFmtId="9" fontId="20" fillId="2" borderId="12" xfId="3" applyNumberFormat="1" applyFont="1" applyFill="1" applyBorder="1" applyAlignment="1">
      <alignment horizontal="center" vertical="center" wrapText="1"/>
    </xf>
    <xf numFmtId="10" fontId="14" fillId="2" borderId="10" xfId="3" applyNumberFormat="1" applyFill="1" applyBorder="1" applyAlignment="1">
      <alignment horizontal="center" vertical="center" wrapText="1"/>
    </xf>
    <xf numFmtId="10" fontId="14" fillId="2" borderId="12" xfId="3" applyNumberFormat="1" applyFill="1" applyBorder="1" applyAlignment="1">
      <alignment horizontal="center" vertical="center" wrapText="1"/>
    </xf>
    <xf numFmtId="9" fontId="14" fillId="2" borderId="10" xfId="3" applyNumberFormat="1" applyFill="1" applyBorder="1" applyAlignment="1">
      <alignment horizontal="center" vertical="center"/>
    </xf>
    <xf numFmtId="9" fontId="14" fillId="2" borderId="12" xfId="3" applyNumberFormat="1" applyFill="1" applyBorder="1" applyAlignment="1">
      <alignment horizontal="center" vertical="center"/>
    </xf>
    <xf numFmtId="9" fontId="14" fillId="2" borderId="10" xfId="3" applyNumberFormat="1" applyFill="1" applyBorder="1" applyAlignment="1">
      <alignment horizontal="center" vertical="center" wrapText="1"/>
    </xf>
    <xf numFmtId="9" fontId="14" fillId="2" borderId="12" xfId="3" applyNumberFormat="1" applyFill="1" applyBorder="1" applyAlignment="1">
      <alignment horizontal="center" vertical="center" wrapText="1"/>
    </xf>
    <xf numFmtId="9" fontId="15" fillId="2" borderId="10" xfId="4" applyNumberFormat="1" applyFill="1" applyBorder="1" applyAlignment="1">
      <alignment horizontal="center" vertical="center"/>
    </xf>
    <xf numFmtId="9" fontId="15" fillId="2" borderId="12" xfId="4" applyNumberFormat="1" applyFill="1" applyBorder="1" applyAlignment="1">
      <alignment horizontal="center" vertical="center"/>
    </xf>
    <xf numFmtId="0" fontId="9" fillId="2" borderId="10"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13" xfId="0" applyBorder="1" applyAlignment="1">
      <alignment horizontal="center" wrapText="1"/>
    </xf>
    <xf numFmtId="0" fontId="0" fillId="0" borderId="0" xfId="0" applyAlignment="1">
      <alignment horizontal="center" wrapText="1"/>
    </xf>
    <xf numFmtId="0" fontId="0" fillId="0" borderId="14" xfId="0" applyBorder="1" applyAlignment="1">
      <alignment horizontal="center" wrapText="1"/>
    </xf>
    <xf numFmtId="0" fontId="9" fillId="0" borderId="3" xfId="0" applyFont="1" applyBorder="1" applyAlignment="1">
      <alignment horizontal="center" vertical="center" wrapText="1"/>
    </xf>
    <xf numFmtId="0" fontId="9" fillId="0" borderId="7" xfId="0" applyFont="1" applyBorder="1" applyAlignment="1">
      <alignment horizontal="center" vertical="center" wrapText="1"/>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7" fillId="0" borderId="2" xfId="0" applyFont="1" applyBorder="1" applyAlignment="1">
      <alignment horizontal="center" vertical="center" wrapText="1"/>
    </xf>
    <xf numFmtId="0" fontId="0" fillId="0" borderId="3" xfId="0" applyBorder="1" applyAlignment="1">
      <alignment wrapText="1"/>
    </xf>
    <xf numFmtId="0" fontId="0" fillId="0" borderId="4"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3" fillId="0" borderId="10" xfId="0" applyFont="1" applyBorder="1" applyAlignment="1">
      <alignment horizontal="center" vertical="top"/>
    </xf>
    <xf numFmtId="0" fontId="0" fillId="0" borderId="12" xfId="0" applyBorder="1" applyAlignment="1">
      <alignment horizontal="center" vertical="top"/>
    </xf>
    <xf numFmtId="0" fontId="3" fillId="2" borderId="10" xfId="0" applyFont="1" applyFill="1" applyBorder="1" applyAlignment="1">
      <alignment horizontal="center" vertical="top"/>
    </xf>
    <xf numFmtId="0" fontId="0" fillId="2" borderId="12" xfId="0" applyFill="1" applyBorder="1" applyAlignment="1">
      <alignment horizontal="center" vertical="top"/>
    </xf>
    <xf numFmtId="0" fontId="7" fillId="0" borderId="11" xfId="0" applyFont="1" applyBorder="1" applyAlignment="1">
      <alignment horizontal="center" vertical="center"/>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3" fillId="2" borderId="2" xfId="0" applyFont="1" applyFill="1" applyBorder="1" applyAlignment="1">
      <alignment horizontal="center" vertical="center"/>
    </xf>
    <xf numFmtId="0" fontId="0" fillId="2" borderId="4" xfId="0" applyFill="1" applyBorder="1" applyAlignment="1">
      <alignment horizontal="center" vertical="center"/>
    </xf>
    <xf numFmtId="0" fontId="7" fillId="2" borderId="10" xfId="0" applyFont="1" applyFill="1" applyBorder="1" applyAlignment="1">
      <alignment horizontal="center" vertical="center"/>
    </xf>
    <xf numFmtId="0" fontId="7" fillId="2" borderId="11" xfId="0" applyFont="1" applyFill="1" applyBorder="1" applyAlignment="1">
      <alignment horizontal="center" vertical="center"/>
    </xf>
    <xf numFmtId="0" fontId="3" fillId="0" borderId="10" xfId="0" applyFont="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2" xfId="0" applyFont="1"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13" xfId="0" applyFill="1" applyBorder="1" applyAlignment="1">
      <alignment horizontal="left" vertical="top" wrapText="1"/>
    </xf>
    <xf numFmtId="0" fontId="0" fillId="2" borderId="0" xfId="0" applyFill="1" applyAlignment="1">
      <alignment horizontal="left" vertical="top" wrapText="1"/>
    </xf>
    <xf numFmtId="0" fontId="0" fillId="2" borderId="14"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3" fillId="0" borderId="0" xfId="0" applyFont="1" applyAlignment="1">
      <alignment horizontal="center" vertical="center"/>
    </xf>
    <xf numFmtId="0" fontId="3" fillId="2" borderId="10" xfId="0" applyFont="1" applyFill="1" applyBorder="1" applyAlignment="1">
      <alignment horizontal="left" vertical="center"/>
    </xf>
    <xf numFmtId="0" fontId="3" fillId="2" borderId="11" xfId="0" applyFont="1" applyFill="1" applyBorder="1" applyAlignment="1">
      <alignment horizontal="left" vertical="center"/>
    </xf>
    <xf numFmtId="0" fontId="3" fillId="2" borderId="12" xfId="0" applyFont="1" applyFill="1" applyBorder="1" applyAlignment="1">
      <alignment horizontal="left" vertical="center"/>
    </xf>
    <xf numFmtId="0" fontId="11" fillId="2" borderId="1" xfId="0" applyFont="1" applyFill="1" applyBorder="1" applyAlignment="1">
      <alignment horizontal="center" vertical="center"/>
    </xf>
    <xf numFmtId="0" fontId="11" fillId="2" borderId="15" xfId="0" applyFont="1" applyFill="1" applyBorder="1" applyAlignment="1">
      <alignment horizontal="center" vertical="center"/>
    </xf>
    <xf numFmtId="0" fontId="11" fillId="2" borderId="5" xfId="0" applyFont="1" applyFill="1" applyBorder="1" applyAlignment="1">
      <alignment horizontal="center" vertical="center"/>
    </xf>
    <xf numFmtId="0" fontId="12" fillId="2" borderId="2" xfId="0" applyFont="1" applyFill="1" applyBorder="1" applyAlignment="1">
      <alignment horizontal="left" vertical="top" wrapText="1"/>
    </xf>
    <xf numFmtId="0" fontId="10" fillId="2" borderId="2" xfId="0" applyFont="1" applyFill="1" applyBorder="1" applyAlignment="1">
      <alignment horizontal="left" vertical="top" wrapText="1"/>
    </xf>
    <xf numFmtId="0" fontId="21" fillId="2" borderId="3" xfId="0" applyFont="1" applyFill="1" applyBorder="1" applyAlignment="1">
      <alignment horizontal="left" vertical="top" wrapText="1"/>
    </xf>
    <xf numFmtId="0" fontId="21" fillId="2" borderId="4" xfId="0" applyFont="1" applyFill="1" applyBorder="1" applyAlignment="1">
      <alignment horizontal="left" vertical="top" wrapText="1"/>
    </xf>
    <xf numFmtId="0" fontId="21" fillId="2" borderId="13" xfId="0" applyFont="1" applyFill="1" applyBorder="1" applyAlignment="1">
      <alignment horizontal="left" vertical="top" wrapText="1"/>
    </xf>
    <xf numFmtId="0" fontId="21" fillId="2" borderId="0" xfId="0" applyFont="1" applyFill="1" applyAlignment="1">
      <alignment horizontal="left" vertical="top" wrapText="1"/>
    </xf>
    <xf numFmtId="0" fontId="21" fillId="2" borderId="14" xfId="0" applyFont="1" applyFill="1" applyBorder="1" applyAlignment="1">
      <alignment horizontal="left" vertical="top" wrapText="1"/>
    </xf>
    <xf numFmtId="0" fontId="21" fillId="2" borderId="6" xfId="0" applyFont="1" applyFill="1" applyBorder="1" applyAlignment="1">
      <alignment horizontal="left" vertical="top" wrapText="1"/>
    </xf>
    <xf numFmtId="0" fontId="21" fillId="2" borderId="7" xfId="0" applyFont="1" applyFill="1" applyBorder="1" applyAlignment="1">
      <alignment horizontal="left" vertical="top" wrapText="1"/>
    </xf>
    <xf numFmtId="0" fontId="21" fillId="2" borderId="8" xfId="0" applyFont="1" applyFill="1" applyBorder="1" applyAlignment="1">
      <alignment horizontal="left" vertical="top" wrapText="1"/>
    </xf>
  </cellXfs>
  <cellStyles count="5">
    <cellStyle name="Bad" xfId="3" builtinId="27"/>
    <cellStyle name="Good" xfId="2" builtinId="26"/>
    <cellStyle name="Neutral" xfId="4" builtinId="28"/>
    <cellStyle name="Normal" xfId="0" builtinId="0"/>
    <cellStyle name="Percent" xfId="1" builtinId="5"/>
  </cellStyles>
  <dxfs count="0"/>
  <tableStyles count="0" defaultTableStyle="TableStyleMedium2" defaultPivotStyle="PivotStyleLight16"/>
  <colors>
    <mruColors>
      <color rgb="FFF5F5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C737-97CF-46AF-823B-BC526D273241}">
  <sheetPr>
    <pageSetUpPr fitToPage="1"/>
  </sheetPr>
  <dimension ref="A1:T68"/>
  <sheetViews>
    <sheetView tabSelected="1" topLeftCell="A44" workbookViewId="0">
      <selection activeCell="D52" sqref="D52:N53"/>
    </sheetView>
  </sheetViews>
  <sheetFormatPr defaultColWidth="9.109375" defaultRowHeight="14.4" x14ac:dyDescent="0.3"/>
  <cols>
    <col min="1" max="1" width="12" style="2" customWidth="1"/>
    <col min="2" max="3" width="9.109375" style="2"/>
    <col min="4" max="4" width="20" style="2" customWidth="1"/>
    <col min="5" max="5" width="4.5546875" style="2" customWidth="1"/>
    <col min="6" max="6" width="10.44140625" style="2" customWidth="1"/>
    <col min="7" max="7" width="10" style="2" customWidth="1"/>
    <col min="8" max="8" width="9.109375" style="2"/>
    <col min="9" max="9" width="8.44140625" style="2" customWidth="1"/>
    <col min="10" max="10" width="4.5546875" style="2" customWidth="1"/>
    <col min="11" max="11" width="23" style="2" customWidth="1"/>
    <col min="12" max="12" width="18.88671875" style="2" customWidth="1"/>
    <col min="13" max="13" width="25.109375" style="2" customWidth="1"/>
    <col min="14" max="14" width="18.44140625" style="2" customWidth="1"/>
    <col min="15" max="15" width="17.109375" style="2" customWidth="1"/>
    <col min="16" max="16" width="9.109375" style="2"/>
    <col min="17" max="17" width="9.44140625" style="2" customWidth="1"/>
    <col min="18" max="18" width="10" style="2" customWidth="1"/>
    <col min="19" max="19" width="10.44140625" style="2" customWidth="1"/>
    <col min="20" max="20" width="12" style="2" customWidth="1"/>
    <col min="21" max="16384" width="9.109375" style="2"/>
  </cols>
  <sheetData>
    <row r="1" spans="1:15" ht="28.5" customHeight="1" thickBot="1" x14ac:dyDescent="0.35">
      <c r="A1" s="1" t="s">
        <v>0</v>
      </c>
      <c r="E1" s="2" t="s">
        <v>1</v>
      </c>
      <c r="F1" s="3" t="s">
        <v>1</v>
      </c>
      <c r="G1" s="2" t="s">
        <v>1</v>
      </c>
      <c r="K1" s="148" t="s">
        <v>77</v>
      </c>
      <c r="L1" s="149"/>
      <c r="M1" s="149"/>
      <c r="N1" s="150"/>
    </row>
    <row r="2" spans="1:15" ht="21.75" customHeight="1" x14ac:dyDescent="0.3">
      <c r="A2" s="44" t="s">
        <v>2</v>
      </c>
      <c r="B2" s="46" t="s">
        <v>72</v>
      </c>
      <c r="C2" s="47"/>
      <c r="D2" s="48"/>
      <c r="F2" s="52" t="s">
        <v>3</v>
      </c>
      <c r="G2" s="53"/>
      <c r="H2" s="53"/>
      <c r="I2" s="54"/>
      <c r="K2" s="58" t="s">
        <v>4</v>
      </c>
      <c r="L2" s="59"/>
      <c r="M2" s="59"/>
      <c r="N2" s="60"/>
      <c r="O2" s="5"/>
    </row>
    <row r="3" spans="1:15" ht="23.25" customHeight="1" thickBot="1" x14ac:dyDescent="0.35">
      <c r="A3" s="45"/>
      <c r="B3" s="49"/>
      <c r="C3" s="50"/>
      <c r="D3" s="51"/>
      <c r="F3" s="55"/>
      <c r="G3" s="56"/>
      <c r="H3" s="56"/>
      <c r="I3" s="57"/>
      <c r="K3" s="61"/>
      <c r="L3" s="62"/>
      <c r="M3" s="62"/>
      <c r="N3" s="63"/>
      <c r="O3" s="7"/>
    </row>
    <row r="4" spans="1:15" ht="24" customHeight="1" thickBot="1" x14ac:dyDescent="0.35">
      <c r="A4" s="8" t="s">
        <v>5</v>
      </c>
      <c r="B4" s="64">
        <v>46066</v>
      </c>
      <c r="C4" s="65"/>
      <c r="D4" s="66"/>
      <c r="F4" s="67" t="s">
        <v>6</v>
      </c>
      <c r="G4" s="68"/>
      <c r="H4" s="69">
        <v>6</v>
      </c>
      <c r="I4" s="70"/>
      <c r="K4" s="11" t="s">
        <v>74</v>
      </c>
      <c r="L4" s="30">
        <v>5</v>
      </c>
      <c r="M4" s="9" t="s">
        <v>7</v>
      </c>
      <c r="N4" s="35">
        <v>5</v>
      </c>
      <c r="O4" s="10"/>
    </row>
    <row r="5" spans="1:15" ht="25.5" customHeight="1" thickBot="1" x14ac:dyDescent="0.35">
      <c r="A5" s="11" t="s">
        <v>8</v>
      </c>
      <c r="B5" s="71">
        <v>45974</v>
      </c>
      <c r="C5" s="72"/>
      <c r="D5" s="73"/>
      <c r="F5" s="74" t="s">
        <v>9</v>
      </c>
      <c r="G5" s="75"/>
      <c r="H5" s="69">
        <v>4</v>
      </c>
      <c r="I5" s="70"/>
      <c r="K5" s="15" t="s">
        <v>10</v>
      </c>
      <c r="L5" s="31" t="s">
        <v>75</v>
      </c>
      <c r="M5" s="8" t="s">
        <v>11</v>
      </c>
      <c r="N5" s="30">
        <v>6</v>
      </c>
    </row>
    <row r="6" spans="1:15" ht="25.5" customHeight="1" thickBot="1" x14ac:dyDescent="0.35">
      <c r="A6" s="12"/>
      <c r="B6" s="13"/>
      <c r="C6" s="14"/>
      <c r="D6" s="14"/>
      <c r="F6" s="7"/>
      <c r="G6" s="7"/>
      <c r="I6" s="5"/>
      <c r="K6" s="9"/>
      <c r="L6" s="30"/>
      <c r="M6" s="9" t="s">
        <v>12</v>
      </c>
      <c r="N6" s="36">
        <v>-7.0000000000000007E-2</v>
      </c>
    </row>
    <row r="7" spans="1:15" ht="48" customHeight="1" thickBot="1" x14ac:dyDescent="0.35">
      <c r="A7" s="76" t="s">
        <v>79</v>
      </c>
      <c r="B7" s="59"/>
      <c r="C7" s="59"/>
      <c r="D7" s="59"/>
      <c r="E7" s="77"/>
      <c r="F7" s="59"/>
      <c r="G7" s="59"/>
      <c r="H7" s="59"/>
      <c r="I7" s="60"/>
      <c r="K7" s="15" t="s">
        <v>13</v>
      </c>
      <c r="L7" s="32">
        <v>0.16</v>
      </c>
      <c r="M7" s="9" t="s">
        <v>14</v>
      </c>
      <c r="N7" s="36">
        <v>-0.01</v>
      </c>
    </row>
    <row r="8" spans="1:15" ht="25.5" customHeight="1" thickBot="1" x14ac:dyDescent="0.35">
      <c r="A8" s="78" t="s">
        <v>15</v>
      </c>
      <c r="B8" s="79"/>
      <c r="C8" s="80">
        <v>-0.03</v>
      </c>
      <c r="D8" s="81"/>
      <c r="F8" s="78" t="s">
        <v>16</v>
      </c>
      <c r="G8" s="82"/>
      <c r="H8" s="83">
        <v>0.1</v>
      </c>
      <c r="I8" s="84"/>
      <c r="K8" s="11" t="s">
        <v>17</v>
      </c>
      <c r="L8" s="33">
        <v>70</v>
      </c>
      <c r="M8" s="8"/>
      <c r="N8" s="8"/>
    </row>
    <row r="9" spans="1:15" ht="25.5" customHeight="1" thickBot="1" x14ac:dyDescent="0.35">
      <c r="A9" s="78" t="s">
        <v>18</v>
      </c>
      <c r="B9" s="79"/>
      <c r="C9" s="85">
        <f>--1.9%</f>
        <v>1.9E-2</v>
      </c>
      <c r="D9" s="86"/>
      <c r="F9" s="78" t="s">
        <v>19</v>
      </c>
      <c r="G9" s="82"/>
      <c r="H9" s="87">
        <v>0.30990000000000001</v>
      </c>
      <c r="I9" s="88"/>
      <c r="K9" s="11" t="s">
        <v>20</v>
      </c>
      <c r="L9" s="34" t="s">
        <v>76</v>
      </c>
      <c r="M9" s="9" t="s">
        <v>21</v>
      </c>
      <c r="N9" s="30">
        <v>28</v>
      </c>
    </row>
    <row r="10" spans="1:15" ht="25.5" customHeight="1" thickBot="1" x14ac:dyDescent="0.35">
      <c r="A10" s="78" t="s">
        <v>22</v>
      </c>
      <c r="B10" s="82"/>
      <c r="C10" s="89">
        <v>-0.21</v>
      </c>
      <c r="D10" s="90"/>
      <c r="F10" s="78" t="s">
        <v>23</v>
      </c>
      <c r="G10" s="82"/>
      <c r="H10" s="91">
        <v>1.91</v>
      </c>
      <c r="I10" s="92"/>
      <c r="K10" s="8"/>
      <c r="L10" s="16"/>
      <c r="M10" s="8" t="s">
        <v>24</v>
      </c>
      <c r="N10" s="30">
        <v>10</v>
      </c>
    </row>
    <row r="11" spans="1:15" ht="25.5" customHeight="1" thickBot="1" x14ac:dyDescent="0.35">
      <c r="A11" s="78" t="s">
        <v>25</v>
      </c>
      <c r="B11" s="82"/>
      <c r="C11" s="93">
        <v>0.39</v>
      </c>
      <c r="D11" s="94"/>
      <c r="F11" s="78" t="s">
        <v>26</v>
      </c>
      <c r="G11" s="82"/>
      <c r="H11" s="95">
        <v>0</v>
      </c>
      <c r="I11" s="96"/>
      <c r="K11" s="17"/>
      <c r="L11" s="17"/>
      <c r="M11" s="17"/>
      <c r="N11" s="17"/>
    </row>
    <row r="12" spans="1:15" ht="23.25" customHeight="1" thickBot="1" x14ac:dyDescent="0.35">
      <c r="A12" s="58" t="s">
        <v>27</v>
      </c>
      <c r="B12" s="97"/>
      <c r="C12" s="97"/>
      <c r="D12" s="98"/>
      <c r="K12" s="52" t="s">
        <v>28</v>
      </c>
      <c r="L12" s="108"/>
      <c r="M12" s="102" t="s">
        <v>29</v>
      </c>
      <c r="N12" s="4"/>
    </row>
    <row r="13" spans="1:15" ht="24" customHeight="1" thickBot="1" x14ac:dyDescent="0.35">
      <c r="A13" s="99"/>
      <c r="B13" s="100"/>
      <c r="C13" s="100"/>
      <c r="D13" s="101"/>
      <c r="F13" s="58" t="s">
        <v>80</v>
      </c>
      <c r="G13" s="59"/>
      <c r="H13" s="59"/>
      <c r="I13" s="60"/>
      <c r="K13" s="109"/>
      <c r="L13" s="110"/>
      <c r="M13" s="103"/>
      <c r="N13" s="6" t="s">
        <v>30</v>
      </c>
      <c r="O13" s="5" t="s">
        <v>1</v>
      </c>
    </row>
    <row r="14" spans="1:15" ht="25.5" customHeight="1" thickBot="1" x14ac:dyDescent="0.35">
      <c r="A14" s="74" t="s">
        <v>31</v>
      </c>
      <c r="B14" s="104"/>
      <c r="C14" s="105"/>
      <c r="D14" s="29" t="s">
        <v>32</v>
      </c>
      <c r="F14" s="61"/>
      <c r="G14" s="62"/>
      <c r="H14" s="62"/>
      <c r="I14" s="63"/>
      <c r="K14" s="74" t="s">
        <v>33</v>
      </c>
      <c r="L14" s="106"/>
      <c r="M14" s="37">
        <v>400</v>
      </c>
      <c r="N14" s="18"/>
      <c r="O14" s="7"/>
    </row>
    <row r="15" spans="1:15" ht="24.75" customHeight="1" thickBot="1" x14ac:dyDescent="0.35">
      <c r="A15" s="74" t="s">
        <v>34</v>
      </c>
      <c r="B15" s="104"/>
      <c r="C15" s="105"/>
      <c r="D15" s="29" t="s">
        <v>32</v>
      </c>
      <c r="F15" s="74" t="s">
        <v>35</v>
      </c>
      <c r="G15" s="107"/>
      <c r="H15" s="106"/>
      <c r="I15" s="29" t="s">
        <v>32</v>
      </c>
      <c r="K15" s="74" t="s">
        <v>36</v>
      </c>
      <c r="L15" s="106"/>
      <c r="M15" s="38">
        <v>0</v>
      </c>
      <c r="N15" s="19">
        <f>M15/M14</f>
        <v>0</v>
      </c>
      <c r="O15" s="10"/>
    </row>
    <row r="16" spans="1:15" ht="20.25" customHeight="1" thickBot="1" x14ac:dyDescent="0.35">
      <c r="A16" s="74" t="s">
        <v>37</v>
      </c>
      <c r="B16" s="104"/>
      <c r="C16" s="105"/>
      <c r="D16" s="29" t="s">
        <v>32</v>
      </c>
      <c r="F16" s="74" t="s">
        <v>38</v>
      </c>
      <c r="G16" s="107"/>
      <c r="H16" s="106"/>
      <c r="I16" s="29" t="s">
        <v>39</v>
      </c>
      <c r="K16" s="74" t="s">
        <v>40</v>
      </c>
      <c r="L16" s="106"/>
      <c r="M16" s="38">
        <v>0</v>
      </c>
      <c r="N16" s="19">
        <f>M16/M14</f>
        <v>0</v>
      </c>
    </row>
    <row r="17" spans="1:16" ht="19.5" customHeight="1" thickBot="1" x14ac:dyDescent="0.35">
      <c r="A17" s="74" t="s">
        <v>41</v>
      </c>
      <c r="B17" s="104"/>
      <c r="C17" s="105"/>
      <c r="D17" s="29" t="s">
        <v>73</v>
      </c>
      <c r="F17" s="74" t="s">
        <v>42</v>
      </c>
      <c r="G17" s="107"/>
      <c r="H17" s="106"/>
      <c r="I17" s="29" t="s">
        <v>39</v>
      </c>
      <c r="K17" s="74" t="s">
        <v>43</v>
      </c>
      <c r="L17" s="106"/>
      <c r="M17" s="38">
        <v>34</v>
      </c>
      <c r="N17" s="19">
        <f>M17/M14</f>
        <v>8.5000000000000006E-2</v>
      </c>
    </row>
    <row r="18" spans="1:16" ht="21" customHeight="1" thickBot="1" x14ac:dyDescent="0.35">
      <c r="A18" s="111" t="s">
        <v>44</v>
      </c>
      <c r="B18" s="112"/>
      <c r="C18" s="112"/>
      <c r="D18" s="113"/>
      <c r="F18" s="74" t="s">
        <v>45</v>
      </c>
      <c r="G18" s="107"/>
      <c r="H18" s="106"/>
      <c r="I18" s="29" t="s">
        <v>32</v>
      </c>
      <c r="K18" s="74" t="s">
        <v>46</v>
      </c>
      <c r="L18" s="106"/>
      <c r="M18" s="38"/>
      <c r="N18" s="20">
        <f>SUM(M15:M17)/M14</f>
        <v>8.5000000000000006E-2</v>
      </c>
    </row>
    <row r="19" spans="1:16" ht="15" thickBot="1" x14ac:dyDescent="0.35">
      <c r="A19" s="114"/>
      <c r="B19" s="115"/>
      <c r="C19" s="115"/>
      <c r="D19" s="116"/>
      <c r="F19" s="74" t="s">
        <v>47</v>
      </c>
      <c r="G19" s="107"/>
      <c r="H19" s="106"/>
      <c r="I19" s="40" t="s">
        <v>32</v>
      </c>
      <c r="K19" s="7"/>
      <c r="M19" s="7"/>
      <c r="N19" s="21"/>
    </row>
    <row r="20" spans="1:16" ht="26.25" customHeight="1" thickBot="1" x14ac:dyDescent="0.35">
      <c r="A20" s="117" t="s">
        <v>48</v>
      </c>
      <c r="B20" s="118"/>
      <c r="C20" s="119" t="s">
        <v>39</v>
      </c>
      <c r="D20" s="120"/>
      <c r="F20" s="74" t="s">
        <v>49</v>
      </c>
      <c r="G20" s="121"/>
      <c r="H20" s="75"/>
      <c r="I20" s="29" t="s">
        <v>39</v>
      </c>
      <c r="K20" s="58" t="s">
        <v>50</v>
      </c>
      <c r="L20" s="122"/>
      <c r="M20" s="102" t="s">
        <v>51</v>
      </c>
      <c r="N20" s="22"/>
    </row>
    <row r="21" spans="1:16" ht="20.25" customHeight="1" x14ac:dyDescent="0.3">
      <c r="A21" s="117" t="s">
        <v>52</v>
      </c>
      <c r="B21" s="118"/>
      <c r="C21" s="119" t="s">
        <v>39</v>
      </c>
      <c r="D21" s="120"/>
      <c r="F21" s="74" t="s">
        <v>53</v>
      </c>
      <c r="G21" s="121"/>
      <c r="H21" s="75"/>
      <c r="I21" s="29" t="s">
        <v>39</v>
      </c>
      <c r="K21" s="123"/>
      <c r="L21" s="124"/>
      <c r="M21" s="103"/>
      <c r="N21" s="6" t="s">
        <v>30</v>
      </c>
    </row>
    <row r="22" spans="1:16" ht="19.5" customHeight="1" thickBot="1" x14ac:dyDescent="0.35">
      <c r="A22" s="117" t="s">
        <v>54</v>
      </c>
      <c r="B22" s="118"/>
      <c r="C22" s="119" t="s">
        <v>39</v>
      </c>
      <c r="D22" s="120"/>
      <c r="F22" s="7" t="s">
        <v>1</v>
      </c>
      <c r="G22" s="7"/>
      <c r="H22" s="7"/>
      <c r="I22"/>
      <c r="K22" s="125" t="s">
        <v>55</v>
      </c>
      <c r="L22" s="126"/>
      <c r="M22" s="39">
        <v>45</v>
      </c>
      <c r="N22" s="23"/>
    </row>
    <row r="23" spans="1:16" ht="21.9" customHeight="1" thickBot="1" x14ac:dyDescent="0.35">
      <c r="A23" s="52" t="s">
        <v>56</v>
      </c>
      <c r="B23" s="54"/>
      <c r="C23" s="127" t="s">
        <v>39</v>
      </c>
      <c r="D23" s="128"/>
      <c r="G23" s="24"/>
      <c r="H23" s="24"/>
      <c r="I23" s="24"/>
      <c r="K23" s="129" t="s">
        <v>57</v>
      </c>
      <c r="L23" s="130"/>
      <c r="M23" s="39">
        <v>7</v>
      </c>
      <c r="N23" s="25">
        <f>M23/M$22</f>
        <v>0.15555555555555556</v>
      </c>
    </row>
    <row r="24" spans="1:16" ht="21.9" customHeight="1" thickBot="1" x14ac:dyDescent="0.35">
      <c r="A24" s="131" t="s">
        <v>58</v>
      </c>
      <c r="B24" s="106"/>
      <c r="C24" s="69" t="s">
        <v>32</v>
      </c>
      <c r="D24" s="70"/>
      <c r="F24" s="24"/>
      <c r="G24" s="24"/>
      <c r="H24" s="24"/>
      <c r="I24" s="24"/>
      <c r="K24" s="74" t="s">
        <v>59</v>
      </c>
      <c r="L24" s="121"/>
      <c r="M24" s="39">
        <v>0</v>
      </c>
      <c r="N24" s="26">
        <f>M24/M$22</f>
        <v>0</v>
      </c>
    </row>
    <row r="25" spans="1:16" ht="21.9" customHeight="1" thickBot="1" x14ac:dyDescent="0.35">
      <c r="A25" s="131" t="s">
        <v>60</v>
      </c>
      <c r="B25" s="106"/>
      <c r="C25" s="69" t="s">
        <v>39</v>
      </c>
      <c r="D25" s="70"/>
      <c r="F25" s="7"/>
      <c r="G25" s="14"/>
      <c r="H25" s="14"/>
      <c r="K25" s="74" t="s">
        <v>61</v>
      </c>
      <c r="L25" s="121"/>
      <c r="M25" s="30">
        <v>0</v>
      </c>
      <c r="N25" s="26">
        <f>M25/M$22</f>
        <v>0</v>
      </c>
    </row>
    <row r="26" spans="1:16" ht="21.9" customHeight="1" thickBot="1" x14ac:dyDescent="0.35">
      <c r="A26" s="131" t="s">
        <v>62</v>
      </c>
      <c r="B26" s="106"/>
      <c r="C26" s="69" t="s">
        <v>39</v>
      </c>
      <c r="D26" s="70"/>
      <c r="F26" s="7"/>
      <c r="G26" s="14"/>
      <c r="H26" s="14"/>
      <c r="K26" s="74" t="s">
        <v>63</v>
      </c>
      <c r="L26" s="121"/>
      <c r="M26" s="30">
        <v>0</v>
      </c>
      <c r="N26" s="26">
        <f>M26/M$22</f>
        <v>0</v>
      </c>
    </row>
    <row r="27" spans="1:16" ht="21.9" customHeight="1" thickBot="1" x14ac:dyDescent="0.35">
      <c r="A27" s="131" t="s">
        <v>64</v>
      </c>
      <c r="B27" s="106"/>
      <c r="C27" s="69" t="s">
        <v>39</v>
      </c>
      <c r="D27" s="70"/>
      <c r="F27" s="7"/>
      <c r="G27" s="14"/>
      <c r="H27" s="14"/>
      <c r="J27"/>
      <c r="K27" s="74" t="s">
        <v>65</v>
      </c>
      <c r="L27" s="121"/>
      <c r="M27" s="30">
        <v>0</v>
      </c>
      <c r="N27" s="26">
        <f>M27/M$22</f>
        <v>0</v>
      </c>
    </row>
    <row r="28" spans="1:16" ht="21.9" customHeight="1" thickBot="1" x14ac:dyDescent="0.35">
      <c r="A28" s="131" t="s">
        <v>66</v>
      </c>
      <c r="B28" s="106"/>
      <c r="C28" s="69" t="s">
        <v>39</v>
      </c>
      <c r="D28" s="70"/>
      <c r="F28" s="7"/>
      <c r="G28" s="14"/>
      <c r="H28" s="14"/>
      <c r="J28"/>
      <c r="K28" s="74" t="s">
        <v>67</v>
      </c>
      <c r="L28" s="121"/>
      <c r="M28" s="27"/>
      <c r="N28" s="26">
        <f>SUM(M23:M27)/M22</f>
        <v>0.15555555555555556</v>
      </c>
    </row>
    <row r="29" spans="1:16" x14ac:dyDescent="0.3">
      <c r="F29"/>
      <c r="G29"/>
      <c r="H29"/>
      <c r="I29"/>
      <c r="J29"/>
      <c r="O29" s="28"/>
      <c r="P29" s="28"/>
    </row>
    <row r="30" spans="1:16" ht="15" thickBot="1" x14ac:dyDescent="0.35">
      <c r="A30" s="3" t="s">
        <v>68</v>
      </c>
      <c r="F30"/>
      <c r="G30"/>
      <c r="H30"/>
      <c r="I30"/>
      <c r="J30"/>
      <c r="K30"/>
      <c r="L30"/>
      <c r="M30"/>
      <c r="N30"/>
      <c r="O30" s="28"/>
      <c r="P30" s="28"/>
    </row>
    <row r="31" spans="1:16" x14ac:dyDescent="0.3">
      <c r="A31" s="155" t="s">
        <v>83</v>
      </c>
      <c r="B31" s="156"/>
      <c r="C31" s="156"/>
      <c r="D31" s="156"/>
      <c r="E31" s="156"/>
      <c r="F31" s="156"/>
      <c r="G31" s="156"/>
      <c r="H31" s="156"/>
      <c r="I31" s="156"/>
      <c r="J31" s="156"/>
      <c r="K31" s="156"/>
      <c r="L31" s="156"/>
      <c r="M31" s="156"/>
      <c r="N31" s="157"/>
      <c r="O31" s="28"/>
      <c r="P31" s="28"/>
    </row>
    <row r="32" spans="1:16" x14ac:dyDescent="0.3">
      <c r="A32" s="158"/>
      <c r="B32" s="159"/>
      <c r="C32" s="159"/>
      <c r="D32" s="159"/>
      <c r="E32" s="159"/>
      <c r="F32" s="159"/>
      <c r="G32" s="159"/>
      <c r="H32" s="159"/>
      <c r="I32" s="159"/>
      <c r="J32" s="159"/>
      <c r="K32" s="159"/>
      <c r="L32" s="159"/>
      <c r="M32" s="159"/>
      <c r="N32" s="160"/>
      <c r="O32" s="28"/>
      <c r="P32" s="28"/>
    </row>
    <row r="33" spans="1:20" x14ac:dyDescent="0.3">
      <c r="A33" s="158"/>
      <c r="B33" s="159"/>
      <c r="C33" s="159"/>
      <c r="D33" s="159"/>
      <c r="E33" s="159"/>
      <c r="F33" s="159"/>
      <c r="G33" s="159"/>
      <c r="H33" s="159"/>
      <c r="I33" s="159"/>
      <c r="J33" s="159"/>
      <c r="K33" s="159"/>
      <c r="L33" s="159"/>
      <c r="M33" s="159"/>
      <c r="N33" s="160"/>
      <c r="O33" s="28"/>
      <c r="P33" s="28"/>
    </row>
    <row r="34" spans="1:20" ht="15" customHeight="1" x14ac:dyDescent="0.3">
      <c r="A34" s="158"/>
      <c r="B34" s="159"/>
      <c r="C34" s="159"/>
      <c r="D34" s="159"/>
      <c r="E34" s="159"/>
      <c r="F34" s="159"/>
      <c r="G34" s="159"/>
      <c r="H34" s="159"/>
      <c r="I34" s="159"/>
      <c r="J34" s="159"/>
      <c r="K34" s="159"/>
      <c r="L34" s="159"/>
      <c r="M34" s="159"/>
      <c r="N34" s="160"/>
      <c r="O34" s="28"/>
      <c r="P34" s="28"/>
    </row>
    <row r="35" spans="1:20" x14ac:dyDescent="0.3">
      <c r="A35" s="158"/>
      <c r="B35" s="159"/>
      <c r="C35" s="159"/>
      <c r="D35" s="159"/>
      <c r="E35" s="159"/>
      <c r="F35" s="159"/>
      <c r="G35" s="159"/>
      <c r="H35" s="159"/>
      <c r="I35" s="159"/>
      <c r="J35" s="159"/>
      <c r="K35" s="159"/>
      <c r="L35" s="159"/>
      <c r="M35" s="159"/>
      <c r="N35" s="160"/>
    </row>
    <row r="36" spans="1:20" x14ac:dyDescent="0.3">
      <c r="A36" s="158"/>
      <c r="B36" s="159"/>
      <c r="C36" s="159"/>
      <c r="D36" s="159"/>
      <c r="E36" s="159"/>
      <c r="F36" s="159"/>
      <c r="G36" s="159"/>
      <c r="H36" s="159"/>
      <c r="I36" s="159"/>
      <c r="J36" s="159"/>
      <c r="K36" s="159"/>
      <c r="L36" s="159"/>
      <c r="M36" s="159"/>
      <c r="N36" s="160"/>
    </row>
    <row r="37" spans="1:20" ht="44.4" customHeight="1" x14ac:dyDescent="0.3">
      <c r="A37" s="161"/>
      <c r="B37" s="162"/>
      <c r="C37" s="162"/>
      <c r="D37" s="162"/>
      <c r="E37" s="162"/>
      <c r="F37" s="162"/>
      <c r="G37" s="162"/>
      <c r="H37" s="162"/>
      <c r="I37" s="162"/>
      <c r="J37" s="162"/>
      <c r="K37" s="162"/>
      <c r="L37" s="162"/>
      <c r="M37" s="162"/>
      <c r="N37" s="163"/>
    </row>
    <row r="38" spans="1:20" x14ac:dyDescent="0.3">
      <c r="A38" s="41"/>
      <c r="B38" s="41"/>
      <c r="C38" s="41"/>
      <c r="D38" s="41"/>
      <c r="E38" s="41"/>
      <c r="F38" s="41"/>
      <c r="G38" s="41"/>
      <c r="H38" s="41"/>
      <c r="I38" s="41"/>
      <c r="J38" s="41"/>
      <c r="K38" s="41"/>
      <c r="L38" s="41"/>
      <c r="M38" s="41"/>
      <c r="N38" s="41"/>
    </row>
    <row r="39" spans="1:20" ht="18.600000000000001" thickBot="1" x14ac:dyDescent="0.35">
      <c r="A39" s="42" t="s">
        <v>69</v>
      </c>
      <c r="B39" s="41"/>
      <c r="C39" s="41"/>
      <c r="D39" s="41"/>
      <c r="E39" s="41"/>
      <c r="F39" s="41"/>
      <c r="G39" s="41"/>
      <c r="H39" s="41"/>
      <c r="I39" s="41"/>
      <c r="J39" s="41"/>
      <c r="K39" s="41"/>
      <c r="L39" s="41"/>
      <c r="M39" s="41"/>
      <c r="N39" s="41"/>
    </row>
    <row r="40" spans="1:20" ht="15" customHeight="1" x14ac:dyDescent="0.3">
      <c r="A40" s="151">
        <v>1</v>
      </c>
      <c r="B40" s="127" t="s">
        <v>70</v>
      </c>
      <c r="C40" s="47"/>
      <c r="D40" s="154" t="s">
        <v>81</v>
      </c>
      <c r="E40" s="139"/>
      <c r="F40" s="139"/>
      <c r="G40" s="139"/>
      <c r="H40" s="139"/>
      <c r="I40" s="139"/>
      <c r="J40" s="139"/>
      <c r="K40" s="139"/>
      <c r="L40" s="139"/>
      <c r="M40" s="139"/>
      <c r="N40" s="140"/>
      <c r="O40" s="28"/>
      <c r="P40" s="28"/>
      <c r="Q40" s="28"/>
      <c r="R40" s="28"/>
      <c r="S40" s="28"/>
      <c r="T40" s="28"/>
    </row>
    <row r="41" spans="1:20" ht="15.75" customHeight="1" thickBot="1" x14ac:dyDescent="0.35">
      <c r="A41" s="152"/>
      <c r="B41" s="49"/>
      <c r="C41" s="50"/>
      <c r="D41" s="144"/>
      <c r="E41" s="145"/>
      <c r="F41" s="145"/>
      <c r="G41" s="145"/>
      <c r="H41" s="145"/>
      <c r="I41" s="145"/>
      <c r="J41" s="145"/>
      <c r="K41" s="145"/>
      <c r="L41" s="145"/>
      <c r="M41" s="145"/>
      <c r="N41" s="146"/>
      <c r="O41" s="28"/>
      <c r="P41" s="28"/>
      <c r="Q41" s="28"/>
      <c r="R41" s="28"/>
      <c r="S41" s="28"/>
      <c r="T41" s="28"/>
    </row>
    <row r="42" spans="1:20" ht="15" customHeight="1" x14ac:dyDescent="0.3">
      <c r="A42" s="152"/>
      <c r="B42" s="132" t="s">
        <v>71</v>
      </c>
      <c r="C42" s="133"/>
      <c r="D42" s="138" t="s">
        <v>82</v>
      </c>
      <c r="E42" s="139"/>
      <c r="F42" s="139"/>
      <c r="G42" s="139"/>
      <c r="H42" s="139"/>
      <c r="I42" s="139"/>
      <c r="J42" s="139"/>
      <c r="K42" s="139"/>
      <c r="L42" s="139"/>
      <c r="M42" s="139"/>
      <c r="N42" s="140"/>
      <c r="O42" s="28"/>
      <c r="P42" s="28"/>
      <c r="Q42" s="28"/>
      <c r="R42" s="28"/>
      <c r="S42" s="28"/>
      <c r="T42" s="28"/>
    </row>
    <row r="43" spans="1:20" x14ac:dyDescent="0.3">
      <c r="A43" s="152"/>
      <c r="B43" s="134"/>
      <c r="C43" s="135"/>
      <c r="D43" s="141"/>
      <c r="E43" s="142"/>
      <c r="F43" s="142"/>
      <c r="G43" s="142"/>
      <c r="H43" s="142"/>
      <c r="I43" s="142"/>
      <c r="J43" s="142"/>
      <c r="K43" s="142"/>
      <c r="L43" s="142"/>
      <c r="M43" s="142"/>
      <c r="N43" s="143"/>
      <c r="O43" s="28"/>
      <c r="P43" s="28"/>
      <c r="Q43" s="28"/>
      <c r="R43" s="28"/>
      <c r="S43" s="28"/>
      <c r="T43" s="28"/>
    </row>
    <row r="44" spans="1:20" ht="42" customHeight="1" thickBot="1" x14ac:dyDescent="0.35">
      <c r="A44" s="153"/>
      <c r="B44" s="136"/>
      <c r="C44" s="137"/>
      <c r="D44" s="144"/>
      <c r="E44" s="145"/>
      <c r="F44" s="145"/>
      <c r="G44" s="145"/>
      <c r="H44" s="145"/>
      <c r="I44" s="145"/>
      <c r="J44" s="145"/>
      <c r="K44" s="145"/>
      <c r="L44" s="145"/>
      <c r="M44" s="145"/>
      <c r="N44" s="146"/>
      <c r="O44" s="28"/>
      <c r="P44" s="28"/>
      <c r="Q44" s="28"/>
      <c r="R44" s="28"/>
      <c r="S44" s="28"/>
      <c r="T44" s="28"/>
    </row>
    <row r="45" spans="1:20" ht="15" thickBot="1" x14ac:dyDescent="0.35">
      <c r="A45" s="41"/>
      <c r="B45" s="41"/>
      <c r="C45" s="41"/>
      <c r="D45" s="43"/>
      <c r="E45" s="43"/>
      <c r="F45" s="43"/>
      <c r="G45" s="43"/>
      <c r="H45" s="43"/>
      <c r="I45" s="43"/>
      <c r="J45" s="43"/>
      <c r="K45" s="43"/>
      <c r="L45" s="43"/>
      <c r="M45" s="43"/>
      <c r="N45" s="43"/>
      <c r="O45" s="28"/>
      <c r="P45" s="28"/>
      <c r="Q45" s="28"/>
      <c r="R45" s="28"/>
      <c r="S45" s="28"/>
      <c r="T45" s="28"/>
    </row>
    <row r="46" spans="1:20" ht="15" customHeight="1" x14ac:dyDescent="0.3">
      <c r="A46" s="151">
        <v>2</v>
      </c>
      <c r="B46" s="127" t="s">
        <v>70</v>
      </c>
      <c r="C46" s="47"/>
      <c r="D46" s="154" t="s">
        <v>84</v>
      </c>
      <c r="E46" s="139"/>
      <c r="F46" s="139"/>
      <c r="G46" s="139"/>
      <c r="H46" s="139"/>
      <c r="I46" s="139"/>
      <c r="J46" s="139"/>
      <c r="K46" s="139"/>
      <c r="L46" s="139"/>
      <c r="M46" s="139"/>
      <c r="N46" s="140"/>
      <c r="O46" s="28"/>
      <c r="P46" s="28"/>
      <c r="Q46" s="28"/>
      <c r="R46" s="28"/>
      <c r="S46" s="28"/>
      <c r="T46" s="28"/>
    </row>
    <row r="47" spans="1:20" ht="15.75" customHeight="1" thickBot="1" x14ac:dyDescent="0.35">
      <c r="A47" s="152"/>
      <c r="B47" s="49"/>
      <c r="C47" s="50"/>
      <c r="D47" s="144"/>
      <c r="E47" s="145"/>
      <c r="F47" s="145"/>
      <c r="G47" s="145"/>
      <c r="H47" s="145"/>
      <c r="I47" s="145"/>
      <c r="J47" s="145"/>
      <c r="K47" s="145"/>
      <c r="L47" s="145"/>
      <c r="M47" s="145"/>
      <c r="N47" s="146"/>
      <c r="O47" s="28"/>
      <c r="P47" s="28"/>
      <c r="Q47" s="28"/>
      <c r="R47" s="28"/>
      <c r="S47" s="28"/>
      <c r="T47" s="28"/>
    </row>
    <row r="48" spans="1:20" ht="15" customHeight="1" x14ac:dyDescent="0.3">
      <c r="A48" s="152"/>
      <c r="B48" s="132" t="s">
        <v>71</v>
      </c>
      <c r="C48" s="133"/>
      <c r="D48" s="138" t="s">
        <v>85</v>
      </c>
      <c r="E48" s="139"/>
      <c r="F48" s="139"/>
      <c r="G48" s="139"/>
      <c r="H48" s="139"/>
      <c r="I48" s="139"/>
      <c r="J48" s="139"/>
      <c r="K48" s="139"/>
      <c r="L48" s="139"/>
      <c r="M48" s="139"/>
      <c r="N48" s="140"/>
      <c r="O48" s="28"/>
      <c r="P48" s="28"/>
      <c r="Q48" s="28"/>
      <c r="R48" s="28"/>
      <c r="S48" s="28"/>
      <c r="T48" s="28"/>
    </row>
    <row r="49" spans="1:20" x14ac:dyDescent="0.3">
      <c r="A49" s="152"/>
      <c r="B49" s="134"/>
      <c r="C49" s="135"/>
      <c r="D49" s="141"/>
      <c r="E49" s="142"/>
      <c r="F49" s="142"/>
      <c r="G49" s="142"/>
      <c r="H49" s="142"/>
      <c r="I49" s="142"/>
      <c r="J49" s="142"/>
      <c r="K49" s="142"/>
      <c r="L49" s="142"/>
      <c r="M49" s="142"/>
      <c r="N49" s="143"/>
      <c r="O49" s="28"/>
      <c r="P49" s="28"/>
      <c r="Q49" s="28"/>
      <c r="R49" s="28"/>
      <c r="S49" s="28"/>
      <c r="T49" s="28"/>
    </row>
    <row r="50" spans="1:20" ht="15" thickBot="1" x14ac:dyDescent="0.35">
      <c r="A50" s="153"/>
      <c r="B50" s="136"/>
      <c r="C50" s="137"/>
      <c r="D50" s="144"/>
      <c r="E50" s="145"/>
      <c r="F50" s="145"/>
      <c r="G50" s="145"/>
      <c r="H50" s="145"/>
      <c r="I50" s="145"/>
      <c r="J50" s="145"/>
      <c r="K50" s="145"/>
      <c r="L50" s="145"/>
      <c r="M50" s="145"/>
      <c r="N50" s="146"/>
      <c r="O50" s="28"/>
      <c r="P50" s="28"/>
      <c r="Q50" s="28"/>
      <c r="R50" s="28"/>
      <c r="S50" s="28"/>
      <c r="T50" s="28"/>
    </row>
    <row r="51" spans="1:20" x14ac:dyDescent="0.3">
      <c r="A51" s="41"/>
      <c r="B51" s="41"/>
      <c r="C51" s="41"/>
      <c r="D51" s="43"/>
      <c r="E51" s="43"/>
      <c r="F51" s="43"/>
      <c r="G51" s="43"/>
      <c r="H51" s="43"/>
      <c r="I51" s="43"/>
      <c r="J51" s="43"/>
      <c r="K51" s="43"/>
      <c r="L51" s="43"/>
      <c r="M51" s="43"/>
      <c r="N51" s="43"/>
      <c r="O51" s="28"/>
      <c r="P51" s="28"/>
      <c r="Q51" s="28"/>
      <c r="R51" s="28"/>
      <c r="S51" s="28"/>
      <c r="T51" s="28"/>
    </row>
    <row r="52" spans="1:20" ht="15" customHeight="1" x14ac:dyDescent="0.3">
      <c r="A52" s="151">
        <v>3</v>
      </c>
      <c r="B52" s="127" t="s">
        <v>70</v>
      </c>
      <c r="C52" s="47"/>
      <c r="D52" s="154" t="s">
        <v>86</v>
      </c>
      <c r="E52" s="139"/>
      <c r="F52" s="139"/>
      <c r="G52" s="139"/>
      <c r="H52" s="139"/>
      <c r="I52" s="139"/>
      <c r="J52" s="139"/>
      <c r="K52" s="139"/>
      <c r="L52" s="139"/>
      <c r="M52" s="139"/>
      <c r="N52" s="140"/>
      <c r="O52" s="28"/>
      <c r="P52" s="28"/>
      <c r="Q52" s="28"/>
      <c r="R52" s="28"/>
      <c r="S52" s="28"/>
      <c r="T52" s="28"/>
    </row>
    <row r="53" spans="1:20" ht="15.75" customHeight="1" x14ac:dyDescent="0.3">
      <c r="A53" s="152"/>
      <c r="B53" s="49"/>
      <c r="C53" s="50"/>
      <c r="D53" s="144"/>
      <c r="E53" s="145"/>
      <c r="F53" s="145"/>
      <c r="G53" s="145"/>
      <c r="H53" s="145"/>
      <c r="I53" s="145"/>
      <c r="J53" s="145"/>
      <c r="K53" s="145"/>
      <c r="L53" s="145"/>
      <c r="M53" s="145"/>
      <c r="N53" s="146"/>
      <c r="O53" s="28"/>
      <c r="P53" s="28"/>
      <c r="Q53" s="28"/>
      <c r="R53" s="28"/>
      <c r="S53" s="28"/>
      <c r="T53" s="28"/>
    </row>
    <row r="54" spans="1:20" ht="15" customHeight="1" x14ac:dyDescent="0.3">
      <c r="A54" s="152"/>
      <c r="B54" s="132" t="s">
        <v>71</v>
      </c>
      <c r="C54" s="133"/>
      <c r="D54" s="138" t="s">
        <v>78</v>
      </c>
      <c r="E54" s="139"/>
      <c r="F54" s="139"/>
      <c r="G54" s="139"/>
      <c r="H54" s="139"/>
      <c r="I54" s="139"/>
      <c r="J54" s="139"/>
      <c r="K54" s="139"/>
      <c r="L54" s="139"/>
      <c r="M54" s="139"/>
      <c r="N54" s="140"/>
      <c r="O54" s="28"/>
      <c r="P54" s="28"/>
      <c r="Q54" s="28"/>
      <c r="R54" s="28"/>
      <c r="S54" s="28"/>
      <c r="T54" s="28"/>
    </row>
    <row r="55" spans="1:20" x14ac:dyDescent="0.3">
      <c r="A55" s="152"/>
      <c r="B55" s="134"/>
      <c r="C55" s="135"/>
      <c r="D55" s="141"/>
      <c r="E55" s="142"/>
      <c r="F55" s="142"/>
      <c r="G55" s="142"/>
      <c r="H55" s="142"/>
      <c r="I55" s="142"/>
      <c r="J55" s="142"/>
      <c r="K55" s="142"/>
      <c r="L55" s="142"/>
      <c r="M55" s="142"/>
      <c r="N55" s="143"/>
      <c r="O55" s="28"/>
      <c r="P55" s="28"/>
      <c r="Q55" s="28"/>
      <c r="R55" s="28"/>
      <c r="S55" s="28"/>
      <c r="T55" s="28"/>
    </row>
    <row r="56" spans="1:20" ht="15" thickBot="1" x14ac:dyDescent="0.35">
      <c r="A56" s="153"/>
      <c r="B56" s="136"/>
      <c r="C56" s="137"/>
      <c r="D56" s="144"/>
      <c r="E56" s="145"/>
      <c r="F56" s="145"/>
      <c r="G56" s="145"/>
      <c r="H56" s="145"/>
      <c r="I56" s="145"/>
      <c r="J56" s="145"/>
      <c r="K56" s="145"/>
      <c r="L56" s="145"/>
      <c r="M56" s="145"/>
      <c r="N56" s="146"/>
      <c r="O56" s="28"/>
      <c r="P56" s="28"/>
      <c r="Q56" s="28"/>
      <c r="R56" s="28"/>
      <c r="S56" s="28"/>
      <c r="T56" s="28"/>
    </row>
    <row r="58" spans="1:20" x14ac:dyDescent="0.3">
      <c r="A58" s="147"/>
      <c r="B58" s="147"/>
      <c r="C58" s="147"/>
    </row>
    <row r="60" spans="1:20" x14ac:dyDescent="0.3">
      <c r="A60" s="28"/>
      <c r="B60" s="28"/>
      <c r="C60" s="28"/>
      <c r="D60" s="28"/>
      <c r="E60" s="28"/>
      <c r="F60" s="28"/>
      <c r="G60" s="28"/>
      <c r="H60" s="28"/>
      <c r="I60" s="28"/>
      <c r="J60" s="28"/>
      <c r="K60" s="28"/>
      <c r="L60" s="28"/>
      <c r="M60" s="28"/>
      <c r="N60" s="28"/>
      <c r="O60" s="28"/>
      <c r="P60" s="28"/>
      <c r="Q60" s="28"/>
      <c r="R60" s="28"/>
      <c r="S60" s="28"/>
      <c r="T60" s="28"/>
    </row>
    <row r="61" spans="1:20" x14ac:dyDescent="0.3">
      <c r="A61" s="28"/>
      <c r="B61" s="28"/>
      <c r="C61" s="28"/>
      <c r="D61" s="28"/>
      <c r="E61" s="28"/>
      <c r="F61" s="28"/>
      <c r="G61" s="28"/>
      <c r="H61" s="28"/>
      <c r="I61" s="28"/>
      <c r="J61" s="28"/>
      <c r="K61" s="28"/>
      <c r="L61" s="28"/>
      <c r="M61" s="28"/>
      <c r="N61" s="28"/>
      <c r="O61" s="28"/>
      <c r="P61" s="28"/>
      <c r="Q61" s="28"/>
      <c r="R61" s="28"/>
      <c r="S61" s="28"/>
      <c r="T61" s="28"/>
    </row>
    <row r="62" spans="1:20" x14ac:dyDescent="0.3">
      <c r="A62" s="28"/>
      <c r="B62" s="28"/>
      <c r="C62" s="28"/>
      <c r="D62" s="28"/>
      <c r="E62" s="28"/>
      <c r="F62" s="28"/>
      <c r="G62" s="28"/>
      <c r="H62" s="28"/>
      <c r="I62" s="28"/>
      <c r="J62" s="28"/>
      <c r="K62" s="28"/>
      <c r="L62" s="28"/>
      <c r="M62" s="28"/>
      <c r="N62" s="28"/>
      <c r="O62" s="28"/>
      <c r="P62" s="28"/>
      <c r="Q62" s="28"/>
      <c r="R62" s="28"/>
      <c r="S62" s="28"/>
      <c r="T62" s="28"/>
    </row>
    <row r="63" spans="1:20" x14ac:dyDescent="0.3">
      <c r="A63" s="28"/>
      <c r="B63" s="28"/>
      <c r="C63" s="28"/>
      <c r="D63" s="28"/>
      <c r="E63" s="28"/>
      <c r="F63" s="28"/>
      <c r="G63" s="28"/>
      <c r="H63" s="28"/>
      <c r="I63" s="28"/>
      <c r="J63" s="28"/>
      <c r="K63" s="28"/>
      <c r="L63" s="28"/>
      <c r="M63" s="28"/>
      <c r="N63" s="28"/>
      <c r="O63" s="28"/>
      <c r="P63" s="28"/>
      <c r="Q63" s="28"/>
      <c r="R63" s="28"/>
      <c r="S63" s="28"/>
      <c r="T63" s="28"/>
    </row>
    <row r="64" spans="1:20" x14ac:dyDescent="0.3">
      <c r="A64" s="28"/>
      <c r="B64" s="28"/>
      <c r="C64" s="28"/>
      <c r="D64" s="28"/>
      <c r="E64" s="28"/>
      <c r="F64" s="28"/>
      <c r="G64" s="28"/>
      <c r="H64" s="28"/>
      <c r="I64" s="28"/>
      <c r="J64" s="28"/>
      <c r="K64" s="28"/>
      <c r="L64" s="28"/>
      <c r="M64" s="28"/>
      <c r="N64" s="28"/>
      <c r="O64" s="28"/>
      <c r="P64" s="28"/>
      <c r="Q64" s="28"/>
      <c r="R64" s="28"/>
      <c r="S64" s="28"/>
      <c r="T64" s="28"/>
    </row>
    <row r="65" spans="1:20" x14ac:dyDescent="0.3">
      <c r="A65" s="28"/>
      <c r="B65" s="28"/>
      <c r="C65" s="28"/>
      <c r="D65" s="28"/>
      <c r="E65" s="28"/>
      <c r="F65" s="28"/>
      <c r="G65" s="28"/>
      <c r="H65" s="28"/>
      <c r="I65" s="28"/>
      <c r="J65" s="28"/>
      <c r="K65" s="28"/>
      <c r="L65" s="28"/>
      <c r="M65" s="28"/>
      <c r="N65" s="28"/>
      <c r="O65" s="28"/>
      <c r="P65" s="28"/>
      <c r="Q65" s="28"/>
      <c r="R65" s="28"/>
      <c r="S65" s="28"/>
      <c r="T65" s="28"/>
    </row>
    <row r="66" spans="1:20" x14ac:dyDescent="0.3">
      <c r="A66" s="28"/>
      <c r="B66" s="28"/>
      <c r="C66" s="28"/>
      <c r="D66" s="28"/>
      <c r="E66" s="28"/>
      <c r="F66" s="28"/>
      <c r="G66" s="28"/>
      <c r="H66" s="28"/>
      <c r="I66" s="28"/>
      <c r="J66" s="28"/>
      <c r="K66" s="28"/>
      <c r="L66" s="28"/>
      <c r="M66" s="28"/>
      <c r="N66" s="28"/>
      <c r="O66" s="28"/>
      <c r="P66" s="28"/>
      <c r="Q66" s="28"/>
      <c r="R66" s="28"/>
      <c r="S66" s="28"/>
      <c r="T66" s="28"/>
    </row>
    <row r="67" spans="1:20" x14ac:dyDescent="0.3">
      <c r="A67" s="28"/>
      <c r="B67" s="28"/>
      <c r="C67" s="28"/>
      <c r="D67" s="28"/>
      <c r="E67" s="28"/>
      <c r="F67" s="28"/>
      <c r="G67" s="28"/>
      <c r="H67" s="28"/>
      <c r="I67" s="28"/>
      <c r="J67" s="28"/>
      <c r="K67" s="28"/>
      <c r="L67" s="28"/>
      <c r="M67" s="28"/>
      <c r="N67" s="28"/>
      <c r="O67" s="28"/>
      <c r="P67" s="28"/>
      <c r="Q67" s="28"/>
      <c r="R67" s="28"/>
      <c r="S67" s="28"/>
      <c r="T67" s="28"/>
    </row>
    <row r="68" spans="1:20" x14ac:dyDescent="0.3">
      <c r="A68" s="28"/>
      <c r="B68" s="28"/>
      <c r="C68" s="28"/>
      <c r="D68" s="28"/>
      <c r="E68" s="28"/>
      <c r="F68" s="28"/>
      <c r="G68" s="28"/>
      <c r="H68" s="28"/>
      <c r="I68" s="28"/>
      <c r="J68" s="28"/>
      <c r="K68" s="28"/>
      <c r="L68" s="28"/>
      <c r="M68" s="28"/>
      <c r="N68" s="28"/>
      <c r="O68" s="28"/>
      <c r="P68" s="28"/>
      <c r="Q68" s="28"/>
      <c r="R68" s="28"/>
      <c r="S68" s="28"/>
      <c r="T68" s="28"/>
    </row>
  </sheetData>
  <mergeCells count="93">
    <mergeCell ref="A58:C58"/>
    <mergeCell ref="K1:N1"/>
    <mergeCell ref="A46:A50"/>
    <mergeCell ref="B46:C47"/>
    <mergeCell ref="D46:N47"/>
    <mergeCell ref="B48:C50"/>
    <mergeCell ref="D48:N50"/>
    <mergeCell ref="A52:A56"/>
    <mergeCell ref="B52:C53"/>
    <mergeCell ref="D52:N53"/>
    <mergeCell ref="B54:C56"/>
    <mergeCell ref="D54:N56"/>
    <mergeCell ref="A31:N37"/>
    <mergeCell ref="A40:A44"/>
    <mergeCell ref="B40:C41"/>
    <mergeCell ref="D40:N41"/>
    <mergeCell ref="B42:C44"/>
    <mergeCell ref="D42:N44"/>
    <mergeCell ref="A27:B27"/>
    <mergeCell ref="C27:D27"/>
    <mergeCell ref="K27:L27"/>
    <mergeCell ref="A28:B28"/>
    <mergeCell ref="C28:D28"/>
    <mergeCell ref="K28:L28"/>
    <mergeCell ref="A25:B25"/>
    <mergeCell ref="C25:D25"/>
    <mergeCell ref="K25:L25"/>
    <mergeCell ref="A26:B26"/>
    <mergeCell ref="C26:D26"/>
    <mergeCell ref="K26:L26"/>
    <mergeCell ref="A23:B23"/>
    <mergeCell ref="C23:D23"/>
    <mergeCell ref="K23:L23"/>
    <mergeCell ref="A24:B24"/>
    <mergeCell ref="C24:D24"/>
    <mergeCell ref="K24:L24"/>
    <mergeCell ref="M20:M21"/>
    <mergeCell ref="A21:B21"/>
    <mergeCell ref="C21:D21"/>
    <mergeCell ref="F21:H21"/>
    <mergeCell ref="A22:B22"/>
    <mergeCell ref="C22:D22"/>
    <mergeCell ref="K22:L22"/>
    <mergeCell ref="A18:D19"/>
    <mergeCell ref="F18:H18"/>
    <mergeCell ref="K18:L18"/>
    <mergeCell ref="F19:H19"/>
    <mergeCell ref="A20:B20"/>
    <mergeCell ref="C20:D20"/>
    <mergeCell ref="F20:H20"/>
    <mergeCell ref="K20:L21"/>
    <mergeCell ref="A16:C16"/>
    <mergeCell ref="F16:H16"/>
    <mergeCell ref="K16:L16"/>
    <mergeCell ref="A17:C17"/>
    <mergeCell ref="F17:H17"/>
    <mergeCell ref="K17:L17"/>
    <mergeCell ref="M12:M13"/>
    <mergeCell ref="F13:I14"/>
    <mergeCell ref="A14:C14"/>
    <mergeCell ref="K14:L14"/>
    <mergeCell ref="A15:C15"/>
    <mergeCell ref="F15:H15"/>
    <mergeCell ref="K15:L15"/>
    <mergeCell ref="K12:L13"/>
    <mergeCell ref="A11:B11"/>
    <mergeCell ref="C11:D11"/>
    <mergeCell ref="F11:G11"/>
    <mergeCell ref="H11:I11"/>
    <mergeCell ref="A12:D13"/>
    <mergeCell ref="A9:B9"/>
    <mergeCell ref="C9:D9"/>
    <mergeCell ref="F9:G9"/>
    <mergeCell ref="H9:I9"/>
    <mergeCell ref="A10:B10"/>
    <mergeCell ref="C10:D10"/>
    <mergeCell ref="F10:G10"/>
    <mergeCell ref="H10:I10"/>
    <mergeCell ref="B5:D5"/>
    <mergeCell ref="F5:G5"/>
    <mergeCell ref="H5:I5"/>
    <mergeCell ref="A7:I7"/>
    <mergeCell ref="A8:B8"/>
    <mergeCell ref="C8:D8"/>
    <mergeCell ref="F8:G8"/>
    <mergeCell ref="H8:I8"/>
    <mergeCell ref="A2:A3"/>
    <mergeCell ref="B2:D3"/>
    <mergeCell ref="F2:I3"/>
    <mergeCell ref="K2:N3"/>
    <mergeCell ref="B4:D4"/>
    <mergeCell ref="F4:G4"/>
    <mergeCell ref="H4:I4"/>
  </mergeCells>
  <pageMargins left="0.7" right="0.7" top="0.75" bottom="0.75" header="0.3" footer="0.3"/>
  <pageSetup scale="45"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Dawn Corley</dc:creator>
  <cp:keywords/>
  <dc:description/>
  <cp:lastModifiedBy>Jason Cole</cp:lastModifiedBy>
  <cp:revision/>
  <cp:lastPrinted>2026-02-14T22:42:38Z</cp:lastPrinted>
  <dcterms:created xsi:type="dcterms:W3CDTF">2024-11-15T16:32:19Z</dcterms:created>
  <dcterms:modified xsi:type="dcterms:W3CDTF">2026-02-18T17:22:43Z</dcterms:modified>
  <cp:category/>
  <cp:contentStatus/>
</cp:coreProperties>
</file>